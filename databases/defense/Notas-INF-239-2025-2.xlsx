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ilia Tellez\UTFSM\2025\Sem II\INF-239\01-Planificacion\"/>
    </mc:Choice>
  </mc:AlternateContent>
  <xr:revisionPtr revIDLastSave="0" documentId="13_ncr:1_{5FCF64D1-8B09-4DCF-B10A-DE3E8DF8AD6E}" xr6:coauthVersionLast="47" xr6:coauthVersionMax="47" xr10:uidLastSave="{00000000-0000-0000-0000-000000000000}"/>
  <bookViews>
    <workbookView xWindow="-108" yWindow="-108" windowWidth="23256" windowHeight="12456" xr2:uid="{5DEB3FE4-1CED-4A74-9576-371063C8CA63}"/>
  </bookViews>
  <sheets>
    <sheet name="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C22" i="1"/>
  <c r="BV20" i="1"/>
  <c r="BW20" i="1" s="1"/>
  <c r="BV19" i="1"/>
  <c r="BW19" i="1" s="1"/>
  <c r="BV18" i="1"/>
  <c r="BW18" i="1" s="1"/>
  <c r="BV17" i="1"/>
  <c r="BW17" i="1" s="1"/>
  <c r="BT16" i="1"/>
  <c r="BQ16" i="1"/>
  <c r="BP16" i="1"/>
  <c r="BO16" i="1"/>
  <c r="BN16" i="1"/>
  <c r="BM16" i="1"/>
  <c r="BL16" i="1"/>
  <c r="BK16" i="1"/>
  <c r="BI16" i="1"/>
  <c r="BH16" i="1"/>
  <c r="BF16" i="1"/>
  <c r="BE16" i="1"/>
  <c r="BD16" i="1"/>
  <c r="BB16" i="1"/>
  <c r="BA16" i="1"/>
  <c r="AY16" i="1"/>
  <c r="AV16" i="1"/>
  <c r="AS16" i="1"/>
  <c r="AP16" i="1"/>
  <c r="AO16" i="1"/>
  <c r="AM16" i="1"/>
  <c r="AE16" i="1"/>
  <c r="AD16" i="1"/>
  <c r="AC16" i="1"/>
  <c r="AB16" i="1"/>
  <c r="Z16" i="1"/>
  <c r="Y16" i="1"/>
  <c r="X16" i="1"/>
  <c r="W16" i="1"/>
  <c r="V16" i="1"/>
  <c r="U16" i="1"/>
  <c r="T16" i="1"/>
  <c r="S16" i="1"/>
  <c r="N16" i="1"/>
  <c r="L16" i="1"/>
  <c r="K16" i="1"/>
  <c r="H16" i="1"/>
  <c r="G16" i="1"/>
  <c r="F16" i="1"/>
  <c r="E16" i="1"/>
  <c r="G15" i="1"/>
  <c r="BV15" i="1" s="1"/>
  <c r="BW15" i="1" s="1"/>
  <c r="F15" i="1"/>
  <c r="E15" i="1"/>
  <c r="AB14" i="1"/>
  <c r="BV14" i="1" s="1"/>
  <c r="BW14" i="1" s="1"/>
  <c r="BT13" i="1"/>
  <c r="BS13" i="1"/>
  <c r="BS22" i="1" s="1"/>
  <c r="BR13" i="1"/>
  <c r="BR22" i="1" s="1"/>
  <c r="BQ13" i="1"/>
  <c r="BP13" i="1"/>
  <c r="BP22" i="1" s="1"/>
  <c r="BO13" i="1"/>
  <c r="BO22" i="1" s="1"/>
  <c r="BN13" i="1"/>
  <c r="BN22" i="1" s="1"/>
  <c r="BM13" i="1"/>
  <c r="BL13" i="1"/>
  <c r="BL22" i="1" s="1"/>
  <c r="BK13" i="1"/>
  <c r="BJ13" i="1"/>
  <c r="BJ22" i="1" s="1"/>
  <c r="BI13" i="1"/>
  <c r="BI22" i="1" s="1"/>
  <c r="BH13" i="1"/>
  <c r="BG13" i="1"/>
  <c r="BG22" i="1" s="1"/>
  <c r="BF13" i="1"/>
  <c r="BF22" i="1" s="1"/>
  <c r="BE13" i="1"/>
  <c r="BE22" i="1" s="1"/>
  <c r="BD13" i="1"/>
  <c r="BD22" i="1" s="1"/>
  <c r="BC13" i="1"/>
  <c r="BC22" i="1" s="1"/>
  <c r="BB13" i="1"/>
  <c r="BA13" i="1"/>
  <c r="BA22" i="1" s="1"/>
  <c r="AZ13" i="1"/>
  <c r="AZ22" i="1" s="1"/>
  <c r="AY13" i="1"/>
  <c r="AX13" i="1"/>
  <c r="AX22" i="1" s="1"/>
  <c r="AW13" i="1"/>
  <c r="AW22" i="1" s="1"/>
  <c r="AV13" i="1"/>
  <c r="AU13" i="1"/>
  <c r="AU22" i="1" s="1"/>
  <c r="AT13" i="1"/>
  <c r="AT22" i="1" s="1"/>
  <c r="AS13" i="1"/>
  <c r="AS22" i="1" s="1"/>
  <c r="AR13" i="1"/>
  <c r="AR22" i="1" s="1"/>
  <c r="AQ13" i="1"/>
  <c r="AQ22" i="1" s="1"/>
  <c r="AP13" i="1"/>
  <c r="AP22" i="1" s="1"/>
  <c r="AO13" i="1"/>
  <c r="AO22" i="1" s="1"/>
  <c r="AN13" i="1"/>
  <c r="AN22" i="1" s="1"/>
  <c r="AM13" i="1"/>
  <c r="AM22" i="1" s="1"/>
  <c r="AL13" i="1"/>
  <c r="AL22" i="1" s="1"/>
  <c r="AK13" i="1"/>
  <c r="AK22" i="1" s="1"/>
  <c r="AJ13" i="1"/>
  <c r="AJ22" i="1" s="1"/>
  <c r="AI13" i="1"/>
  <c r="AI22" i="1" s="1"/>
  <c r="AH13" i="1"/>
  <c r="AH22" i="1" s="1"/>
  <c r="AG13" i="1"/>
  <c r="AG22" i="1" s="1"/>
  <c r="AF13" i="1"/>
  <c r="AF22" i="1" s="1"/>
  <c r="AE13" i="1"/>
  <c r="AE22" i="1" s="1"/>
  <c r="AD13" i="1"/>
  <c r="AD22" i="1" s="1"/>
  <c r="AC13" i="1"/>
  <c r="AC22" i="1" s="1"/>
  <c r="AB13" i="1"/>
  <c r="Z13" i="1"/>
  <c r="Y13" i="1"/>
  <c r="Y22" i="1" s="1"/>
  <c r="X13" i="1"/>
  <c r="X22" i="1" s="1"/>
  <c r="W13" i="1"/>
  <c r="W22" i="1" s="1"/>
  <c r="V13" i="1"/>
  <c r="V22" i="1" s="1"/>
  <c r="U13" i="1"/>
  <c r="U22" i="1" s="1"/>
  <c r="T13" i="1"/>
  <c r="T22" i="1" s="1"/>
  <c r="S13" i="1"/>
  <c r="R13" i="1"/>
  <c r="R22" i="1" s="1"/>
  <c r="Q13" i="1"/>
  <c r="Q22" i="1" s="1"/>
  <c r="P13" i="1"/>
  <c r="P22" i="1" s="1"/>
  <c r="N13" i="1"/>
  <c r="M13" i="1"/>
  <c r="M22" i="1" s="1"/>
  <c r="L13" i="1"/>
  <c r="L22" i="1" s="1"/>
  <c r="K13" i="1"/>
  <c r="K22" i="1" s="1"/>
  <c r="J13" i="1"/>
  <c r="J22" i="1" s="1"/>
  <c r="I13" i="1"/>
  <c r="I22" i="1" s="1"/>
  <c r="H13" i="1"/>
  <c r="H22" i="1" s="1"/>
  <c r="G13" i="1"/>
  <c r="F13" i="1"/>
  <c r="F22" i="1" s="1"/>
  <c r="E13" i="1"/>
  <c r="BV10" i="1"/>
  <c r="BW10" i="1" s="1"/>
  <c r="BW9" i="1"/>
  <c r="BV9" i="1"/>
  <c r="BV8" i="1"/>
  <c r="BW8" i="1" s="1"/>
  <c r="BV7" i="1"/>
  <c r="BW7" i="1" s="1"/>
  <c r="BV6" i="1"/>
  <c r="BW6" i="1" s="1"/>
  <c r="BV5" i="1"/>
  <c r="BW5" i="1" s="1"/>
  <c r="BV4" i="1"/>
  <c r="BW4" i="1" s="1"/>
  <c r="BV3" i="1"/>
  <c r="BW3" i="1" s="1"/>
  <c r="BB22" i="1" l="1"/>
  <c r="BK22" i="1"/>
  <c r="BM22" i="1"/>
  <c r="AY22" i="1"/>
  <c r="E22" i="1"/>
  <c r="BV16" i="1"/>
  <c r="BW16" i="1" s="1"/>
  <c r="N22" i="1"/>
  <c r="AV22" i="1"/>
  <c r="BT22" i="1"/>
  <c r="BQ22" i="1"/>
  <c r="BV13" i="1"/>
  <c r="BW13" i="1" s="1"/>
  <c r="Z22" i="1"/>
  <c r="S22" i="1"/>
  <c r="AB22" i="1"/>
  <c r="BH22" i="1"/>
  <c r="G22" i="1"/>
  <c r="BY22" i="1" s="1"/>
  <c r="BX22" i="1" l="1"/>
  <c r="CB22" i="1"/>
  <c r="BV22" i="1"/>
  <c r="BW22" i="1"/>
  <c r="CA22" i="1" l="1"/>
  <c r="BZ22" i="1"/>
</calcChain>
</file>

<file path=xl/sharedStrings.xml><?xml version="1.0" encoding="utf-8"?>
<sst xmlns="http://schemas.openxmlformats.org/spreadsheetml/2006/main" count="28" uniqueCount="28">
  <si>
    <t>Rol</t>
  </si>
  <si>
    <t>Parte I</t>
  </si>
  <si>
    <t>P1 - C</t>
  </si>
  <si>
    <t>P2 - E</t>
  </si>
  <si>
    <t>P3 - A</t>
  </si>
  <si>
    <t>P4 - E</t>
  </si>
  <si>
    <t>P5 - D</t>
  </si>
  <si>
    <t>P6 - D</t>
  </si>
  <si>
    <t>P7 - B</t>
  </si>
  <si>
    <t>P8 - C</t>
  </si>
  <si>
    <t>Parte II</t>
  </si>
  <si>
    <t>Clases (12/9)</t>
  </si>
  <si>
    <t>Métodos (4/9)</t>
  </si>
  <si>
    <t>Asociaciones (9/9)</t>
  </si>
  <si>
    <t>Cardinalidad (7/8)</t>
  </si>
  <si>
    <t>Atributos</t>
  </si>
  <si>
    <t>Herencia (9/2)</t>
  </si>
  <si>
    <t>Agregación (8/2)</t>
  </si>
  <si>
    <t>Uso simbología</t>
  </si>
  <si>
    <t>NOTA</t>
  </si>
  <si>
    <t>Se identifican la clases que resuelven problema.</t>
  </si>
  <si>
    <t>Todas las clases identificadas disponen de la menos 1 método.</t>
  </si>
  <si>
    <t>Las clases se relacionan de alguna manera para resolver problema.</t>
  </si>
  <si>
    <t>La cardinalidad de las asociaciones son coherentes para resolver problema.</t>
  </si>
  <si>
    <t>Se exponen todos los atributos exigidos para el problema.</t>
  </si>
  <si>
    <t>Se identifican dos clases que heredan de una clase.</t>
  </si>
  <si>
    <t>Se identifican una agregación compuesta y otra simple.</t>
  </si>
  <si>
    <t>Uso de simbología es coherente con notación solicitada (UML) para resolver problema.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</si>
</sst>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theme="4"/>
      <name val="Calibri"/>
      <family val="2"/>
    </font>
    <font>
      <sz val="9"/>
      <color rgb="FFFF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ourier New"/>
      <family val="3"/>
    </font>
    <font>
      <b/>
      <sz val="9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textRotation="90" wrapText="1"/>
    </xf>
    <xf numFmtId="0" fontId="3" fillId="0" borderId="0" xfId="0" applyFont="1" applyAlignment="1">
      <alignment horizontal="center" textRotation="90" wrapText="1"/>
    </xf>
    <xf numFmtId="0" fontId="1" fillId="0" borderId="0" xfId="0" applyFont="1" applyAlignment="1">
      <alignment vertical="center" textRotation="90" wrapText="1"/>
    </xf>
    <xf numFmtId="164" fontId="1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9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67E2-6AE8-4C15-A86B-0B2B114E8811}">
  <dimension ref="A1:CC988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A2" sqref="A2:XFD2"/>
    </sheetView>
  </sheetViews>
  <sheetFormatPr baseColWidth="10" defaultColWidth="12.6640625" defaultRowHeight="14.4" x14ac:dyDescent="0.3"/>
  <cols>
    <col min="1" max="1" width="15" customWidth="1"/>
    <col min="2" max="2" width="29.6640625" customWidth="1"/>
    <col min="3" max="3" width="4.33203125" customWidth="1"/>
    <col min="4" max="4" width="3.109375" customWidth="1"/>
    <col min="5" max="54" width="3.44140625" customWidth="1"/>
    <col min="55" max="56" width="3.109375" customWidth="1"/>
    <col min="57" max="58" width="3.44140625" customWidth="1"/>
    <col min="59" max="59" width="3.109375" customWidth="1"/>
    <col min="60" max="60" width="3.5546875" bestFit="1" customWidth="1"/>
    <col min="61" max="64" width="3.109375" customWidth="1"/>
    <col min="65" max="65" width="3.44140625" customWidth="1"/>
    <col min="66" max="66" width="3.109375" customWidth="1"/>
    <col min="67" max="68" width="3.33203125" customWidth="1"/>
    <col min="69" max="71" width="3.44140625" customWidth="1"/>
    <col min="72" max="73" width="3.109375" customWidth="1"/>
    <col min="74" max="74" width="3.6640625" customWidth="1"/>
    <col min="75" max="77" width="4.33203125" customWidth="1"/>
    <col min="78" max="81" width="4.77734375" customWidth="1"/>
  </cols>
  <sheetData>
    <row r="1" spans="1:81" ht="57.6" customHeight="1" x14ac:dyDescent="0.3">
      <c r="A1" s="1"/>
      <c r="B1" s="1"/>
      <c r="C1" s="2" t="s">
        <v>0</v>
      </c>
      <c r="D1" s="1"/>
      <c r="E1" s="3">
        <v>202230517</v>
      </c>
      <c r="F1" s="3">
        <v>202430515</v>
      </c>
      <c r="G1" s="3">
        <v>202373607</v>
      </c>
      <c r="H1" s="3">
        <v>202430543</v>
      </c>
      <c r="I1" s="3">
        <v>202373580</v>
      </c>
      <c r="J1" s="3">
        <v>202304662</v>
      </c>
      <c r="K1" s="3">
        <v>202430507</v>
      </c>
      <c r="L1" s="3">
        <v>202110537</v>
      </c>
      <c r="M1" s="3">
        <v>202430568</v>
      </c>
      <c r="N1" s="3">
        <v>202430530</v>
      </c>
      <c r="O1" s="3">
        <v>202473522</v>
      </c>
      <c r="P1" s="3">
        <v>202023511</v>
      </c>
      <c r="Q1" s="3">
        <v>202304577</v>
      </c>
      <c r="R1" s="3">
        <v>202430505</v>
      </c>
      <c r="S1" s="3">
        <v>202373602</v>
      </c>
      <c r="T1" s="3">
        <v>202330503</v>
      </c>
      <c r="U1" s="3">
        <v>202430529</v>
      </c>
      <c r="V1" s="3">
        <v>202473507</v>
      </c>
      <c r="W1" s="3">
        <v>202430528</v>
      </c>
      <c r="X1" s="3">
        <v>201804582</v>
      </c>
      <c r="Y1" s="3">
        <v>202373540</v>
      </c>
      <c r="Z1" s="3">
        <v>202304014</v>
      </c>
      <c r="AA1" s="4">
        <v>202373530</v>
      </c>
      <c r="AB1" s="3">
        <v>202473610</v>
      </c>
      <c r="AC1" s="3">
        <v>202373597</v>
      </c>
      <c r="AD1" s="3">
        <v>202304656</v>
      </c>
      <c r="AE1" s="3">
        <v>202330540</v>
      </c>
      <c r="AF1" s="3">
        <v>202473542</v>
      </c>
      <c r="AG1" s="3">
        <v>202430501</v>
      </c>
      <c r="AH1" s="3">
        <v>202473509</v>
      </c>
      <c r="AI1" s="3">
        <v>202330530</v>
      </c>
      <c r="AJ1" s="3">
        <v>202373527</v>
      </c>
      <c r="AK1" s="3">
        <v>202373529</v>
      </c>
      <c r="AL1" s="3">
        <v>202430512</v>
      </c>
      <c r="AM1" s="3">
        <v>202473574</v>
      </c>
      <c r="AN1" s="3">
        <v>202373576</v>
      </c>
      <c r="AO1" s="3">
        <v>202411543</v>
      </c>
      <c r="AP1" s="3">
        <v>202473575</v>
      </c>
      <c r="AQ1" s="3">
        <v>202230520</v>
      </c>
      <c r="AR1" s="3">
        <v>202430536</v>
      </c>
      <c r="AS1" s="3">
        <v>202104614</v>
      </c>
      <c r="AT1" s="3">
        <v>202110540</v>
      </c>
      <c r="AU1" s="3">
        <v>202330547</v>
      </c>
      <c r="AV1" s="3">
        <v>202304664</v>
      </c>
      <c r="AW1" s="3">
        <v>202304550</v>
      </c>
      <c r="AX1" s="3">
        <v>202130512</v>
      </c>
      <c r="AY1" s="3">
        <v>202430503</v>
      </c>
      <c r="AZ1" s="3">
        <v>202304539</v>
      </c>
      <c r="BA1" s="3">
        <v>202313567</v>
      </c>
      <c r="BB1" s="3">
        <v>202373601</v>
      </c>
      <c r="BC1" s="3">
        <v>202430513</v>
      </c>
      <c r="BD1" s="3">
        <v>202473568</v>
      </c>
      <c r="BE1" s="3">
        <v>202304532</v>
      </c>
      <c r="BF1" s="3">
        <v>202373543</v>
      </c>
      <c r="BG1" s="3">
        <v>202330545</v>
      </c>
      <c r="BH1" s="3">
        <v>202430534</v>
      </c>
      <c r="BI1" s="3">
        <v>202204580</v>
      </c>
      <c r="BJ1" s="3">
        <v>202330528</v>
      </c>
      <c r="BK1" s="3">
        <v>202330517</v>
      </c>
      <c r="BL1" s="3">
        <v>202404532</v>
      </c>
      <c r="BM1" s="3">
        <v>202430511</v>
      </c>
      <c r="BN1" s="3">
        <v>202473593</v>
      </c>
      <c r="BO1" s="3">
        <v>202210517</v>
      </c>
      <c r="BP1" s="3">
        <v>202330567</v>
      </c>
      <c r="BQ1" s="3">
        <v>202310582</v>
      </c>
      <c r="BR1" s="3">
        <v>202330529</v>
      </c>
      <c r="BS1" s="3">
        <v>202330505</v>
      </c>
      <c r="BT1" s="3">
        <v>202473617</v>
      </c>
      <c r="BU1" s="5"/>
      <c r="BV1" s="1"/>
      <c r="BW1" s="6"/>
      <c r="BX1" s="1"/>
      <c r="BY1" s="1"/>
      <c r="BZ1" s="1"/>
      <c r="CA1" s="1"/>
      <c r="CB1" s="1"/>
      <c r="CC1" s="1"/>
    </row>
    <row r="2" spans="1:81" ht="12" customHeight="1" x14ac:dyDescent="0.3">
      <c r="A2" s="9" t="s">
        <v>1</v>
      </c>
      <c r="B2" s="9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8"/>
      <c r="BX2" s="7"/>
      <c r="BY2" s="7"/>
      <c r="BZ2" s="7"/>
      <c r="CA2" s="7"/>
      <c r="CB2" s="7"/>
      <c r="CC2" s="7"/>
    </row>
    <row r="3" spans="1:81" ht="12" customHeight="1" x14ac:dyDescent="0.3">
      <c r="A3" s="10" t="s">
        <v>2</v>
      </c>
      <c r="B3" s="10"/>
      <c r="C3" s="11">
        <v>5</v>
      </c>
      <c r="D3" s="7"/>
      <c r="E3" s="7">
        <v>0</v>
      </c>
      <c r="F3" s="7">
        <v>5</v>
      </c>
      <c r="G3" s="7">
        <v>5</v>
      </c>
      <c r="H3" s="7">
        <v>5</v>
      </c>
      <c r="I3" s="7">
        <v>0</v>
      </c>
      <c r="J3" s="7">
        <v>0</v>
      </c>
      <c r="K3" s="7">
        <v>5</v>
      </c>
      <c r="L3" s="7">
        <v>0</v>
      </c>
      <c r="M3" s="7">
        <v>5</v>
      </c>
      <c r="N3" s="7">
        <v>5</v>
      </c>
      <c r="O3" s="7">
        <v>5</v>
      </c>
      <c r="P3" s="7">
        <v>0</v>
      </c>
      <c r="Q3" s="7">
        <v>0</v>
      </c>
      <c r="R3" s="7">
        <v>5</v>
      </c>
      <c r="S3" s="7">
        <v>5</v>
      </c>
      <c r="T3" s="7">
        <v>0</v>
      </c>
      <c r="U3" s="7">
        <v>5</v>
      </c>
      <c r="V3" s="7">
        <v>0</v>
      </c>
      <c r="W3" s="7">
        <v>0</v>
      </c>
      <c r="X3" s="7">
        <v>5</v>
      </c>
      <c r="Y3" s="7">
        <v>0</v>
      </c>
      <c r="Z3" s="7">
        <v>0</v>
      </c>
      <c r="AA3" s="7"/>
      <c r="AB3" s="7">
        <v>0</v>
      </c>
      <c r="AC3" s="7">
        <v>5</v>
      </c>
      <c r="AD3" s="7">
        <v>5</v>
      </c>
      <c r="AE3" s="7">
        <v>5</v>
      </c>
      <c r="AF3" s="7">
        <v>5</v>
      </c>
      <c r="AG3" s="7">
        <v>0</v>
      </c>
      <c r="AH3" s="7">
        <v>5</v>
      </c>
      <c r="AI3" s="7">
        <v>0</v>
      </c>
      <c r="AJ3" s="7">
        <v>0</v>
      </c>
      <c r="AK3" s="7">
        <v>5</v>
      </c>
      <c r="AL3" s="7">
        <v>5</v>
      </c>
      <c r="AM3" s="7">
        <v>5</v>
      </c>
      <c r="AN3" s="7">
        <v>0</v>
      </c>
      <c r="AO3" s="7">
        <v>5</v>
      </c>
      <c r="AP3" s="7">
        <v>5</v>
      </c>
      <c r="AQ3" s="7">
        <v>5</v>
      </c>
      <c r="AR3" s="7">
        <v>0</v>
      </c>
      <c r="AS3" s="7">
        <v>5</v>
      </c>
      <c r="AT3" s="7">
        <v>0</v>
      </c>
      <c r="AU3" s="7">
        <v>5</v>
      </c>
      <c r="AV3" s="7">
        <v>5</v>
      </c>
      <c r="AW3" s="7">
        <v>0</v>
      </c>
      <c r="AX3" s="7">
        <v>0</v>
      </c>
      <c r="AY3" s="7">
        <v>5</v>
      </c>
      <c r="AZ3" s="7">
        <v>5</v>
      </c>
      <c r="BA3" s="7">
        <v>5</v>
      </c>
      <c r="BB3" s="7">
        <v>0</v>
      </c>
      <c r="BC3" s="7">
        <v>5</v>
      </c>
      <c r="BD3" s="7">
        <v>5</v>
      </c>
      <c r="BE3" s="7">
        <v>0</v>
      </c>
      <c r="BF3" s="7">
        <v>5</v>
      </c>
      <c r="BG3" s="7">
        <v>5</v>
      </c>
      <c r="BH3" s="7">
        <v>0</v>
      </c>
      <c r="BI3" s="7">
        <v>0</v>
      </c>
      <c r="BJ3" s="7">
        <v>5</v>
      </c>
      <c r="BK3" s="7">
        <v>5</v>
      </c>
      <c r="BL3" s="7">
        <v>5</v>
      </c>
      <c r="BM3" s="7">
        <v>5</v>
      </c>
      <c r="BN3" s="11">
        <v>5</v>
      </c>
      <c r="BO3" s="11">
        <v>5</v>
      </c>
      <c r="BP3" s="11">
        <v>5</v>
      </c>
      <c r="BQ3" s="11">
        <v>0</v>
      </c>
      <c r="BR3" s="11">
        <v>5</v>
      </c>
      <c r="BS3" s="11">
        <v>5</v>
      </c>
      <c r="BT3" s="11">
        <v>0</v>
      </c>
      <c r="BU3" s="11"/>
      <c r="BV3" s="7">
        <f t="shared" ref="BV3:BV10" si="0">COUNT(E3:BU3)</f>
        <v>67</v>
      </c>
      <c r="BW3" s="8">
        <f t="shared" ref="BW3:BW10" si="1">SUM(E3:BT3)/BV3</f>
        <v>3.0597014925373136</v>
      </c>
      <c r="BX3" s="7"/>
      <c r="BY3" s="7"/>
      <c r="BZ3" s="7"/>
      <c r="CA3" s="7"/>
      <c r="CB3" s="7"/>
      <c r="CC3" s="7"/>
    </row>
    <row r="4" spans="1:81" ht="12" customHeight="1" x14ac:dyDescent="0.3">
      <c r="A4" s="10" t="s">
        <v>3</v>
      </c>
      <c r="B4" s="10"/>
      <c r="C4" s="11">
        <v>5</v>
      </c>
      <c r="D4" s="7"/>
      <c r="E4" s="7">
        <v>0</v>
      </c>
      <c r="F4" s="7">
        <v>0</v>
      </c>
      <c r="G4" s="7">
        <v>5</v>
      </c>
      <c r="H4" s="7">
        <v>0</v>
      </c>
      <c r="I4" s="7">
        <v>0</v>
      </c>
      <c r="J4" s="7">
        <v>5</v>
      </c>
      <c r="K4" s="7">
        <v>5</v>
      </c>
      <c r="L4" s="7">
        <v>5</v>
      </c>
      <c r="M4" s="7">
        <v>0</v>
      </c>
      <c r="N4" s="7">
        <v>0</v>
      </c>
      <c r="O4" s="7">
        <v>0</v>
      </c>
      <c r="P4" s="7">
        <v>0</v>
      </c>
      <c r="Q4" s="7">
        <v>5</v>
      </c>
      <c r="R4" s="7">
        <v>0</v>
      </c>
      <c r="S4" s="7">
        <v>5</v>
      </c>
      <c r="T4" s="7">
        <v>5</v>
      </c>
      <c r="U4" s="7">
        <v>5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/>
      <c r="AB4" s="7">
        <v>5</v>
      </c>
      <c r="AC4" s="7">
        <v>5</v>
      </c>
      <c r="AD4" s="7">
        <v>0</v>
      </c>
      <c r="AE4" s="7">
        <v>5</v>
      </c>
      <c r="AF4" s="7">
        <v>0</v>
      </c>
      <c r="AG4" s="7">
        <v>5</v>
      </c>
      <c r="AH4" s="7">
        <v>5</v>
      </c>
      <c r="AI4" s="7">
        <v>5</v>
      </c>
      <c r="AJ4" s="7">
        <v>5</v>
      </c>
      <c r="AK4" s="7">
        <v>5</v>
      </c>
      <c r="AL4" s="7">
        <v>0</v>
      </c>
      <c r="AM4" s="7">
        <v>0</v>
      </c>
      <c r="AN4" s="7">
        <v>5</v>
      </c>
      <c r="AO4" s="7">
        <v>5</v>
      </c>
      <c r="AP4" s="7">
        <v>0</v>
      </c>
      <c r="AQ4" s="7">
        <v>0</v>
      </c>
      <c r="AR4" s="7">
        <v>5</v>
      </c>
      <c r="AS4" s="7">
        <v>0</v>
      </c>
      <c r="AT4" s="7">
        <v>5</v>
      </c>
      <c r="AU4" s="7">
        <v>0</v>
      </c>
      <c r="AV4" s="7">
        <v>5</v>
      </c>
      <c r="AW4" s="7">
        <v>0</v>
      </c>
      <c r="AX4" s="7">
        <v>5</v>
      </c>
      <c r="AY4" s="7">
        <v>5</v>
      </c>
      <c r="AZ4" s="7">
        <v>5</v>
      </c>
      <c r="BA4" s="7">
        <v>5</v>
      </c>
      <c r="BB4" s="7">
        <v>0</v>
      </c>
      <c r="BC4" s="7">
        <v>0</v>
      </c>
      <c r="BD4" s="7">
        <v>5</v>
      </c>
      <c r="BE4" s="7">
        <v>0</v>
      </c>
      <c r="BF4" s="7">
        <v>0</v>
      </c>
      <c r="BG4" s="7">
        <v>0</v>
      </c>
      <c r="BH4" s="7">
        <v>5</v>
      </c>
      <c r="BI4" s="7">
        <v>5</v>
      </c>
      <c r="BJ4" s="7">
        <v>5</v>
      </c>
      <c r="BK4" s="7">
        <v>0</v>
      </c>
      <c r="BL4" s="7">
        <v>0</v>
      </c>
      <c r="BM4" s="7">
        <v>0</v>
      </c>
      <c r="BN4" s="11">
        <v>5</v>
      </c>
      <c r="BO4" s="11">
        <v>5</v>
      </c>
      <c r="BP4" s="11">
        <v>0</v>
      </c>
      <c r="BQ4" s="11">
        <v>5</v>
      </c>
      <c r="BR4" s="11">
        <v>0</v>
      </c>
      <c r="BS4" s="11">
        <v>0</v>
      </c>
      <c r="BT4" s="11">
        <v>0</v>
      </c>
      <c r="BU4" s="11"/>
      <c r="BV4" s="7">
        <f t="shared" si="0"/>
        <v>67</v>
      </c>
      <c r="BW4" s="8">
        <f t="shared" si="1"/>
        <v>2.3880597014925371</v>
      </c>
      <c r="BX4" s="7"/>
      <c r="BY4" s="7"/>
      <c r="BZ4" s="7"/>
      <c r="CA4" s="7"/>
      <c r="CB4" s="7"/>
      <c r="CC4" s="7"/>
    </row>
    <row r="5" spans="1:81" ht="12" customHeight="1" x14ac:dyDescent="0.3">
      <c r="A5" s="10" t="s">
        <v>4</v>
      </c>
      <c r="B5" s="10"/>
      <c r="C5" s="11">
        <v>5</v>
      </c>
      <c r="D5" s="7"/>
      <c r="E5" s="7">
        <v>0</v>
      </c>
      <c r="F5" s="7">
        <v>5</v>
      </c>
      <c r="G5" s="7">
        <v>5</v>
      </c>
      <c r="H5" s="7">
        <v>5</v>
      </c>
      <c r="I5" s="7">
        <v>0</v>
      </c>
      <c r="J5" s="7">
        <v>5</v>
      </c>
      <c r="K5" s="7">
        <v>0</v>
      </c>
      <c r="L5" s="7">
        <v>5</v>
      </c>
      <c r="M5" s="7">
        <v>0</v>
      </c>
      <c r="N5" s="7">
        <v>0</v>
      </c>
      <c r="O5" s="7">
        <v>5</v>
      </c>
      <c r="P5" s="7">
        <v>5</v>
      </c>
      <c r="Q5" s="7">
        <v>5</v>
      </c>
      <c r="R5" s="7">
        <v>5</v>
      </c>
      <c r="S5" s="7">
        <v>0</v>
      </c>
      <c r="T5" s="7">
        <v>0</v>
      </c>
      <c r="U5" s="7">
        <v>5</v>
      </c>
      <c r="V5" s="7">
        <v>5</v>
      </c>
      <c r="W5" s="7">
        <v>0</v>
      </c>
      <c r="X5" s="7">
        <v>5</v>
      </c>
      <c r="Y5" s="7">
        <v>5</v>
      </c>
      <c r="Z5" s="7">
        <v>0</v>
      </c>
      <c r="AA5" s="7"/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5</v>
      </c>
      <c r="AL5" s="7">
        <v>0</v>
      </c>
      <c r="AM5" s="7">
        <v>5</v>
      </c>
      <c r="AN5" s="7">
        <v>0</v>
      </c>
      <c r="AO5" s="7">
        <v>5</v>
      </c>
      <c r="AP5" s="7">
        <v>5</v>
      </c>
      <c r="AQ5" s="7">
        <v>5</v>
      </c>
      <c r="AR5" s="7">
        <v>0</v>
      </c>
      <c r="AS5" s="7">
        <v>0</v>
      </c>
      <c r="AT5" s="7">
        <v>5</v>
      </c>
      <c r="AU5" s="7">
        <v>5</v>
      </c>
      <c r="AV5" s="7">
        <v>5</v>
      </c>
      <c r="AW5" s="7">
        <v>5</v>
      </c>
      <c r="AX5" s="7">
        <v>5</v>
      </c>
      <c r="AY5" s="7">
        <v>5</v>
      </c>
      <c r="AZ5" s="7">
        <v>0</v>
      </c>
      <c r="BA5" s="7">
        <v>0</v>
      </c>
      <c r="BB5" s="7">
        <v>0</v>
      </c>
      <c r="BC5" s="7">
        <v>5</v>
      </c>
      <c r="BD5" s="7">
        <v>0</v>
      </c>
      <c r="BE5" s="7">
        <v>5</v>
      </c>
      <c r="BF5" s="7">
        <v>5</v>
      </c>
      <c r="BG5" s="7">
        <v>0</v>
      </c>
      <c r="BH5" s="7">
        <v>5</v>
      </c>
      <c r="BI5" s="7">
        <v>0</v>
      </c>
      <c r="BJ5" s="7">
        <v>5</v>
      </c>
      <c r="BK5" s="7">
        <v>0</v>
      </c>
      <c r="BL5" s="7">
        <v>0</v>
      </c>
      <c r="BM5" s="7">
        <v>5</v>
      </c>
      <c r="BN5" s="11">
        <v>5</v>
      </c>
      <c r="BO5" s="11">
        <v>0</v>
      </c>
      <c r="BP5" s="11">
        <v>0</v>
      </c>
      <c r="BQ5" s="11">
        <v>0</v>
      </c>
      <c r="BR5" s="11">
        <v>0</v>
      </c>
      <c r="BS5" s="11">
        <v>5</v>
      </c>
      <c r="BT5" s="11">
        <v>0</v>
      </c>
      <c r="BU5" s="11"/>
      <c r="BV5" s="7">
        <f t="shared" si="0"/>
        <v>67</v>
      </c>
      <c r="BW5" s="8">
        <f t="shared" si="1"/>
        <v>2.3880597014925371</v>
      </c>
      <c r="BX5" s="7"/>
      <c r="BY5" s="7"/>
      <c r="BZ5" s="7"/>
      <c r="CA5" s="7"/>
      <c r="CB5" s="7"/>
      <c r="CC5" s="7"/>
    </row>
    <row r="6" spans="1:81" ht="12" customHeight="1" x14ac:dyDescent="0.3">
      <c r="A6" s="10" t="s">
        <v>5</v>
      </c>
      <c r="B6" s="10"/>
      <c r="C6" s="11">
        <v>5</v>
      </c>
      <c r="D6" s="7"/>
      <c r="E6" s="7">
        <v>0</v>
      </c>
      <c r="F6" s="7">
        <v>0</v>
      </c>
      <c r="G6" s="7">
        <v>0</v>
      </c>
      <c r="H6" s="7">
        <v>5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5</v>
      </c>
      <c r="P6" s="7">
        <v>0</v>
      </c>
      <c r="Q6" s="7">
        <v>0</v>
      </c>
      <c r="R6" s="7">
        <v>5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/>
      <c r="AB6" s="7">
        <v>0</v>
      </c>
      <c r="AC6" s="7">
        <v>5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5</v>
      </c>
      <c r="AL6" s="7">
        <v>0</v>
      </c>
      <c r="AM6" s="7">
        <v>5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5</v>
      </c>
      <c r="AT6" s="7">
        <v>5</v>
      </c>
      <c r="AU6" s="7">
        <v>5</v>
      </c>
      <c r="AV6" s="7">
        <v>0</v>
      </c>
      <c r="AW6" s="7">
        <v>5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5</v>
      </c>
      <c r="BD6" s="7">
        <v>5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11">
        <v>5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/>
      <c r="BV6" s="7">
        <f t="shared" si="0"/>
        <v>67</v>
      </c>
      <c r="BW6" s="8">
        <f t="shared" si="1"/>
        <v>0.97014925373134331</v>
      </c>
      <c r="BX6" s="7"/>
      <c r="BY6" s="7"/>
      <c r="BZ6" s="7"/>
      <c r="CA6" s="7"/>
      <c r="CB6" s="7"/>
      <c r="CC6" s="7"/>
    </row>
    <row r="7" spans="1:81" ht="12" customHeight="1" x14ac:dyDescent="0.3">
      <c r="A7" s="10" t="s">
        <v>6</v>
      </c>
      <c r="B7" s="10"/>
      <c r="C7" s="11">
        <v>5</v>
      </c>
      <c r="D7" s="7"/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/>
      <c r="AB7" s="7">
        <v>5</v>
      </c>
      <c r="AC7" s="7">
        <v>0</v>
      </c>
      <c r="AD7" s="7">
        <v>0</v>
      </c>
      <c r="AE7" s="7">
        <v>0</v>
      </c>
      <c r="AF7" s="7">
        <v>5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5</v>
      </c>
      <c r="BF7" s="7">
        <v>0</v>
      </c>
      <c r="BG7" s="7">
        <v>0</v>
      </c>
      <c r="BH7" s="7">
        <v>5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11">
        <v>0</v>
      </c>
      <c r="BO7" s="11">
        <v>5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/>
      <c r="BV7" s="7">
        <f t="shared" si="0"/>
        <v>67</v>
      </c>
      <c r="BW7" s="8">
        <f t="shared" si="1"/>
        <v>0.37313432835820898</v>
      </c>
      <c r="BX7" s="7"/>
      <c r="BY7" s="7"/>
      <c r="BZ7" s="7"/>
      <c r="CA7" s="7"/>
      <c r="CB7" s="7"/>
      <c r="CC7" s="7"/>
    </row>
    <row r="8" spans="1:81" ht="12" customHeight="1" x14ac:dyDescent="0.3">
      <c r="A8" s="10" t="s">
        <v>7</v>
      </c>
      <c r="B8" s="10"/>
      <c r="C8" s="11">
        <v>5</v>
      </c>
      <c r="D8" s="7"/>
      <c r="E8" s="7">
        <v>0</v>
      </c>
      <c r="F8" s="7">
        <v>0</v>
      </c>
      <c r="G8" s="7">
        <v>0</v>
      </c>
      <c r="H8" s="7">
        <v>0</v>
      </c>
      <c r="I8" s="7">
        <v>5</v>
      </c>
      <c r="J8" s="7">
        <v>0</v>
      </c>
      <c r="K8" s="7">
        <v>0</v>
      </c>
      <c r="L8" s="7">
        <v>5</v>
      </c>
      <c r="M8" s="7">
        <v>0</v>
      </c>
      <c r="N8" s="7">
        <v>0</v>
      </c>
      <c r="O8" s="7">
        <v>5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/>
      <c r="AB8" s="7">
        <v>5</v>
      </c>
      <c r="AC8" s="7">
        <v>0</v>
      </c>
      <c r="AD8" s="7">
        <v>0</v>
      </c>
      <c r="AE8" s="7">
        <v>0</v>
      </c>
      <c r="AF8" s="7">
        <v>5</v>
      </c>
      <c r="AG8" s="7">
        <v>0</v>
      </c>
      <c r="AH8" s="7">
        <v>5</v>
      </c>
      <c r="AI8" s="7">
        <v>0</v>
      </c>
      <c r="AJ8" s="7">
        <v>0</v>
      </c>
      <c r="AK8" s="7">
        <v>5</v>
      </c>
      <c r="AL8" s="7">
        <v>5</v>
      </c>
      <c r="AM8" s="7">
        <v>0</v>
      </c>
      <c r="AN8" s="7">
        <v>5</v>
      </c>
      <c r="AO8" s="7">
        <v>0</v>
      </c>
      <c r="AP8" s="7">
        <v>0</v>
      </c>
      <c r="AQ8" s="7">
        <v>0</v>
      </c>
      <c r="AR8" s="7">
        <v>0</v>
      </c>
      <c r="AS8" s="7">
        <v>5</v>
      </c>
      <c r="AT8" s="7">
        <v>0</v>
      </c>
      <c r="AU8" s="7">
        <v>0</v>
      </c>
      <c r="AV8" s="7">
        <v>0</v>
      </c>
      <c r="AW8" s="7">
        <v>0</v>
      </c>
      <c r="AX8" s="7">
        <v>5</v>
      </c>
      <c r="AY8" s="7">
        <v>0</v>
      </c>
      <c r="AZ8" s="7">
        <v>0</v>
      </c>
      <c r="BA8" s="7">
        <v>5</v>
      </c>
      <c r="BB8" s="7">
        <v>5</v>
      </c>
      <c r="BC8" s="7">
        <v>0</v>
      </c>
      <c r="BD8" s="7">
        <v>0</v>
      </c>
      <c r="BE8" s="7">
        <v>5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5</v>
      </c>
      <c r="BN8" s="11">
        <v>0</v>
      </c>
      <c r="BO8" s="11">
        <v>5</v>
      </c>
      <c r="BP8" s="11">
        <v>5</v>
      </c>
      <c r="BQ8" s="11">
        <v>0</v>
      </c>
      <c r="BR8" s="11">
        <v>0</v>
      </c>
      <c r="BS8" s="11">
        <v>5</v>
      </c>
      <c r="BT8" s="11">
        <v>0</v>
      </c>
      <c r="BU8" s="11"/>
      <c r="BV8" s="7">
        <f t="shared" si="0"/>
        <v>67</v>
      </c>
      <c r="BW8" s="8">
        <f t="shared" si="1"/>
        <v>1.3432835820895523</v>
      </c>
      <c r="BX8" s="7"/>
      <c r="BY8" s="7"/>
      <c r="BZ8" s="7"/>
      <c r="CA8" s="7"/>
      <c r="CB8" s="7"/>
      <c r="CC8" s="7"/>
    </row>
    <row r="9" spans="1:81" ht="12" customHeight="1" x14ac:dyDescent="0.3">
      <c r="A9" s="10" t="s">
        <v>8</v>
      </c>
      <c r="B9" s="10"/>
      <c r="C9" s="11">
        <v>5</v>
      </c>
      <c r="D9" s="7"/>
      <c r="E9" s="7">
        <v>5</v>
      </c>
      <c r="F9" s="7">
        <v>0</v>
      </c>
      <c r="G9" s="7">
        <v>0</v>
      </c>
      <c r="H9" s="7">
        <v>5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5</v>
      </c>
      <c r="P9" s="7">
        <v>0</v>
      </c>
      <c r="Q9" s="7">
        <v>0</v>
      </c>
      <c r="R9" s="7">
        <v>5</v>
      </c>
      <c r="S9" s="7">
        <v>0</v>
      </c>
      <c r="T9" s="7">
        <v>0</v>
      </c>
      <c r="U9" s="7">
        <v>0</v>
      </c>
      <c r="V9" s="7">
        <v>5</v>
      </c>
      <c r="W9" s="7">
        <v>5</v>
      </c>
      <c r="X9" s="7">
        <v>0</v>
      </c>
      <c r="Y9" s="7">
        <v>5</v>
      </c>
      <c r="Z9" s="7">
        <v>0</v>
      </c>
      <c r="AA9" s="7"/>
      <c r="AB9" s="7">
        <v>0</v>
      </c>
      <c r="AC9" s="7">
        <v>5</v>
      </c>
      <c r="AD9" s="7">
        <v>0</v>
      </c>
      <c r="AE9" s="7">
        <v>0</v>
      </c>
      <c r="AF9" s="7">
        <v>0</v>
      </c>
      <c r="AG9" s="7">
        <v>0</v>
      </c>
      <c r="AH9" s="7">
        <v>5</v>
      </c>
      <c r="AI9" s="7">
        <v>5</v>
      </c>
      <c r="AJ9" s="7">
        <v>0</v>
      </c>
      <c r="AK9" s="7">
        <v>5</v>
      </c>
      <c r="AL9" s="7">
        <v>0</v>
      </c>
      <c r="AM9" s="7">
        <v>5</v>
      </c>
      <c r="AN9" s="7">
        <v>5</v>
      </c>
      <c r="AO9" s="7">
        <v>5</v>
      </c>
      <c r="AP9" s="7">
        <v>5</v>
      </c>
      <c r="AQ9" s="7">
        <v>0</v>
      </c>
      <c r="AR9" s="7">
        <v>0</v>
      </c>
      <c r="AS9" s="7">
        <v>5</v>
      </c>
      <c r="AT9" s="7">
        <v>0</v>
      </c>
      <c r="AU9" s="7">
        <v>0</v>
      </c>
      <c r="AV9" s="7">
        <v>5</v>
      </c>
      <c r="AW9" s="7">
        <v>0</v>
      </c>
      <c r="AX9" s="7">
        <v>0</v>
      </c>
      <c r="AY9" s="7">
        <v>0</v>
      </c>
      <c r="AZ9" s="7">
        <v>5</v>
      </c>
      <c r="BA9" s="7">
        <v>0</v>
      </c>
      <c r="BB9" s="7">
        <v>5</v>
      </c>
      <c r="BC9" s="7">
        <v>5</v>
      </c>
      <c r="BD9" s="7">
        <v>0</v>
      </c>
      <c r="BE9" s="7">
        <v>0</v>
      </c>
      <c r="BF9" s="7">
        <v>0</v>
      </c>
      <c r="BG9" s="7">
        <v>0</v>
      </c>
      <c r="BH9" s="7">
        <v>5</v>
      </c>
      <c r="BI9" s="7">
        <v>0</v>
      </c>
      <c r="BJ9" s="7">
        <v>0</v>
      </c>
      <c r="BK9" s="7">
        <v>5</v>
      </c>
      <c r="BL9" s="7">
        <v>5</v>
      </c>
      <c r="BM9" s="7">
        <v>5</v>
      </c>
      <c r="BN9" s="11">
        <v>0</v>
      </c>
      <c r="BO9" s="11">
        <v>5</v>
      </c>
      <c r="BP9" s="11">
        <v>5</v>
      </c>
      <c r="BQ9" s="11">
        <v>5</v>
      </c>
      <c r="BR9" s="11">
        <v>0</v>
      </c>
      <c r="BS9" s="11">
        <v>0</v>
      </c>
      <c r="BT9" s="11">
        <v>0</v>
      </c>
      <c r="BU9" s="11"/>
      <c r="BV9" s="7">
        <f t="shared" si="0"/>
        <v>67</v>
      </c>
      <c r="BW9" s="8">
        <f t="shared" si="1"/>
        <v>2.08955223880597</v>
      </c>
      <c r="BX9" s="7"/>
      <c r="BY9" s="7"/>
      <c r="BZ9" s="7"/>
      <c r="CA9" s="7"/>
      <c r="CB9" s="7"/>
      <c r="CC9" s="7"/>
    </row>
    <row r="10" spans="1:81" ht="12" customHeight="1" x14ac:dyDescent="0.3">
      <c r="A10" s="10" t="s">
        <v>9</v>
      </c>
      <c r="B10" s="10"/>
      <c r="C10" s="11">
        <v>5</v>
      </c>
      <c r="D10" s="7"/>
      <c r="E10" s="7">
        <v>5</v>
      </c>
      <c r="F10" s="7">
        <v>5</v>
      </c>
      <c r="G10" s="7">
        <v>5</v>
      </c>
      <c r="H10" s="7">
        <v>0</v>
      </c>
      <c r="I10" s="7">
        <v>0</v>
      </c>
      <c r="J10" s="7">
        <v>5</v>
      </c>
      <c r="K10" s="7">
        <v>5</v>
      </c>
      <c r="L10" s="7">
        <v>5</v>
      </c>
      <c r="M10" s="7">
        <v>5</v>
      </c>
      <c r="N10" s="7">
        <v>0</v>
      </c>
      <c r="O10" s="7">
        <v>5</v>
      </c>
      <c r="P10" s="7">
        <v>5</v>
      </c>
      <c r="Q10" s="7">
        <v>5</v>
      </c>
      <c r="R10" s="7">
        <v>5</v>
      </c>
      <c r="S10" s="7">
        <v>0</v>
      </c>
      <c r="T10" s="7">
        <v>5</v>
      </c>
      <c r="U10" s="7">
        <v>5</v>
      </c>
      <c r="V10" s="7">
        <v>5</v>
      </c>
      <c r="W10" s="7">
        <v>5</v>
      </c>
      <c r="X10" s="7">
        <v>5</v>
      </c>
      <c r="Y10" s="7">
        <v>5</v>
      </c>
      <c r="Z10" s="7">
        <v>0</v>
      </c>
      <c r="AA10" s="7"/>
      <c r="AB10" s="7">
        <v>0</v>
      </c>
      <c r="AC10" s="7">
        <v>5</v>
      </c>
      <c r="AD10" s="7">
        <v>0</v>
      </c>
      <c r="AE10" s="7">
        <v>5</v>
      </c>
      <c r="AF10" s="7">
        <v>5</v>
      </c>
      <c r="AG10" s="7">
        <v>0</v>
      </c>
      <c r="AH10" s="7">
        <v>5</v>
      </c>
      <c r="AI10" s="7">
        <v>0</v>
      </c>
      <c r="AJ10" s="7">
        <v>5</v>
      </c>
      <c r="AK10" s="7">
        <v>5</v>
      </c>
      <c r="AL10" s="7">
        <v>0</v>
      </c>
      <c r="AM10" s="7">
        <v>5</v>
      </c>
      <c r="AN10" s="7">
        <v>0</v>
      </c>
      <c r="AO10" s="7">
        <v>5</v>
      </c>
      <c r="AP10" s="7">
        <v>0</v>
      </c>
      <c r="AQ10" s="7">
        <v>0</v>
      </c>
      <c r="AR10" s="7">
        <v>0</v>
      </c>
      <c r="AS10" s="7">
        <v>0</v>
      </c>
      <c r="AT10" s="7">
        <v>5</v>
      </c>
      <c r="AU10" s="7">
        <v>5</v>
      </c>
      <c r="AV10" s="7">
        <v>5</v>
      </c>
      <c r="AW10" s="7">
        <v>5</v>
      </c>
      <c r="AX10" s="7">
        <v>0</v>
      </c>
      <c r="AY10" s="7">
        <v>0</v>
      </c>
      <c r="AZ10" s="7">
        <v>0</v>
      </c>
      <c r="BA10" s="7">
        <v>0</v>
      </c>
      <c r="BB10" s="7">
        <v>5</v>
      </c>
      <c r="BC10" s="7">
        <v>0</v>
      </c>
      <c r="BD10" s="7">
        <v>5</v>
      </c>
      <c r="BE10" s="7">
        <v>0</v>
      </c>
      <c r="BF10" s="7">
        <v>5</v>
      </c>
      <c r="BG10" s="7">
        <v>0</v>
      </c>
      <c r="BH10" s="7">
        <v>5</v>
      </c>
      <c r="BI10" s="7">
        <v>0</v>
      </c>
      <c r="BJ10" s="7">
        <v>0</v>
      </c>
      <c r="BK10" s="7">
        <v>0</v>
      </c>
      <c r="BL10" s="7">
        <v>5</v>
      </c>
      <c r="BM10" s="7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/>
      <c r="BV10" s="7">
        <f t="shared" si="0"/>
        <v>67</v>
      </c>
      <c r="BW10" s="8">
        <f t="shared" si="1"/>
        <v>2.5373134328358211</v>
      </c>
      <c r="BX10" s="7"/>
      <c r="BY10" s="7"/>
      <c r="BZ10" s="7"/>
      <c r="CA10" s="7"/>
      <c r="CB10" s="7"/>
      <c r="CC10" s="7"/>
    </row>
    <row r="11" spans="1:81" ht="12" customHeight="1" x14ac:dyDescent="0.3">
      <c r="A11" s="7"/>
      <c r="B11" s="7"/>
      <c r="C11" s="11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12"/>
      <c r="BO11" s="12"/>
      <c r="BP11" s="12"/>
      <c r="BQ11" s="12"/>
      <c r="BR11" s="12"/>
      <c r="BS11" s="12"/>
      <c r="BT11" s="12"/>
      <c r="BU11" s="11"/>
      <c r="BV11" s="7"/>
      <c r="BW11" s="8"/>
      <c r="BX11" s="7"/>
      <c r="BY11" s="7"/>
      <c r="BZ11" s="7"/>
      <c r="CA11" s="7"/>
      <c r="CB11" s="7"/>
      <c r="CC11" s="7"/>
    </row>
    <row r="12" spans="1:81" ht="12" customHeight="1" x14ac:dyDescent="0.3">
      <c r="A12" s="9" t="s">
        <v>10</v>
      </c>
      <c r="B12" s="9"/>
      <c r="C12" s="1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11"/>
      <c r="BV12" s="7"/>
      <c r="BW12" s="8"/>
      <c r="BX12" s="7"/>
      <c r="BY12" s="7"/>
      <c r="BZ12" s="7"/>
      <c r="CA12" s="7"/>
      <c r="CB12" s="7"/>
      <c r="CC12" s="7"/>
    </row>
    <row r="13" spans="1:81" ht="24" x14ac:dyDescent="0.3">
      <c r="A13" s="7" t="s">
        <v>11</v>
      </c>
      <c r="B13" s="7" t="s">
        <v>20</v>
      </c>
      <c r="C13" s="13">
        <v>12</v>
      </c>
      <c r="D13" s="7"/>
      <c r="E13" s="8">
        <f>6*(12/9)</f>
        <v>8</v>
      </c>
      <c r="F13" s="8">
        <f>6*12/9</f>
        <v>8</v>
      </c>
      <c r="G13" s="8">
        <f>7*(12/9)</f>
        <v>9.3333333333333321</v>
      </c>
      <c r="H13" s="8">
        <f>6*12/9</f>
        <v>8</v>
      </c>
      <c r="I13" s="8">
        <f>6*12/9</f>
        <v>8</v>
      </c>
      <c r="J13" s="8">
        <f>7*12/9</f>
        <v>9.3333333333333339</v>
      </c>
      <c r="K13" s="8">
        <f>7*12/9</f>
        <v>9.3333333333333339</v>
      </c>
      <c r="L13" s="8">
        <f>6*12/9</f>
        <v>8</v>
      </c>
      <c r="M13" s="8">
        <f>5*12/9</f>
        <v>6.666666666666667</v>
      </c>
      <c r="N13" s="8">
        <f>6*12/9</f>
        <v>8</v>
      </c>
      <c r="O13" s="8">
        <v>12</v>
      </c>
      <c r="P13" s="8">
        <f>5*12/9</f>
        <v>6.666666666666667</v>
      </c>
      <c r="Q13" s="8">
        <f>7*12/9</f>
        <v>9.3333333333333339</v>
      </c>
      <c r="R13" s="8">
        <f>6*12/9</f>
        <v>8</v>
      </c>
      <c r="S13" s="8">
        <f>6*12/9</f>
        <v>8</v>
      </c>
      <c r="T13" s="8">
        <f>6*12/9</f>
        <v>8</v>
      </c>
      <c r="U13" s="8">
        <f>7*12/9</f>
        <v>9.3333333333333339</v>
      </c>
      <c r="V13" s="8">
        <f>7*12/9</f>
        <v>9.3333333333333339</v>
      </c>
      <c r="W13" s="8">
        <f>6*12/9</f>
        <v>8</v>
      </c>
      <c r="X13" s="8">
        <f>6*12/9</f>
        <v>8</v>
      </c>
      <c r="Y13" s="8">
        <f>6*12/9</f>
        <v>8</v>
      </c>
      <c r="Z13" s="8">
        <f>5*12/9</f>
        <v>6.666666666666667</v>
      </c>
      <c r="AA13" s="8"/>
      <c r="AB13" s="8">
        <f>7*12/9</f>
        <v>9.3333333333333339</v>
      </c>
      <c r="AC13" s="8">
        <f>7*12/9</f>
        <v>9.3333333333333339</v>
      </c>
      <c r="AD13" s="8">
        <f>8*12/9</f>
        <v>10.666666666666666</v>
      </c>
      <c r="AE13" s="8">
        <f>5*12/9</f>
        <v>6.666666666666667</v>
      </c>
      <c r="AF13" s="8">
        <f>7*12/9</f>
        <v>9.3333333333333339</v>
      </c>
      <c r="AG13" s="8">
        <f>5*12/9</f>
        <v>6.666666666666667</v>
      </c>
      <c r="AH13" s="8">
        <f>6*12/9</f>
        <v>8</v>
      </c>
      <c r="AI13" s="8">
        <f>5*12/9</f>
        <v>6.666666666666667</v>
      </c>
      <c r="AJ13" s="8">
        <f>6*12/9</f>
        <v>8</v>
      </c>
      <c r="AK13" s="8">
        <f>6*12/9</f>
        <v>8</v>
      </c>
      <c r="AL13" s="8">
        <f>7*12/9</f>
        <v>9.3333333333333339</v>
      </c>
      <c r="AM13" s="8">
        <f>7*12/9</f>
        <v>9.3333333333333339</v>
      </c>
      <c r="AN13" s="8">
        <f>8*12/9</f>
        <v>10.666666666666666</v>
      </c>
      <c r="AO13" s="8">
        <f>6*12/9</f>
        <v>8</v>
      </c>
      <c r="AP13" s="8">
        <f>6*12/9</f>
        <v>8</v>
      </c>
      <c r="AQ13" s="8">
        <f>7*12/9</f>
        <v>9.3333333333333339</v>
      </c>
      <c r="AR13" s="8">
        <f>6*12/9</f>
        <v>8</v>
      </c>
      <c r="AS13" s="8">
        <f>5.5*12/9</f>
        <v>7.333333333333333</v>
      </c>
      <c r="AT13" s="8">
        <f>5*12/9</f>
        <v>6.666666666666667</v>
      </c>
      <c r="AU13" s="8">
        <f>6*12/9</f>
        <v>8</v>
      </c>
      <c r="AV13" s="8">
        <f>7*12/9</f>
        <v>9.3333333333333339</v>
      </c>
      <c r="AW13" s="8">
        <f>6*12/9</f>
        <v>8</v>
      </c>
      <c r="AX13" s="8">
        <f>6*12/9</f>
        <v>8</v>
      </c>
      <c r="AY13" s="8">
        <f>6*12/9</f>
        <v>8</v>
      </c>
      <c r="AZ13" s="8">
        <f>6*12/9</f>
        <v>8</v>
      </c>
      <c r="BA13" s="8">
        <f>7*12/9</f>
        <v>9.3333333333333339</v>
      </c>
      <c r="BB13" s="8">
        <f>6*12/9</f>
        <v>8</v>
      </c>
      <c r="BC13" s="8">
        <f>6*12/9</f>
        <v>8</v>
      </c>
      <c r="BD13" s="8">
        <f>6*12/9</f>
        <v>8</v>
      </c>
      <c r="BE13" s="8">
        <f>7*12/9</f>
        <v>9.3333333333333339</v>
      </c>
      <c r="BF13" s="8">
        <f>7*12/9</f>
        <v>9.3333333333333339</v>
      </c>
      <c r="BG13" s="8">
        <f>6*12/9</f>
        <v>8</v>
      </c>
      <c r="BH13" s="8">
        <f>8*12/9</f>
        <v>10.666666666666666</v>
      </c>
      <c r="BI13" s="8">
        <f>7*12/9</f>
        <v>9.3333333333333339</v>
      </c>
      <c r="BJ13" s="8">
        <f>6*12/9</f>
        <v>8</v>
      </c>
      <c r="BK13" s="8">
        <f>6*12/9</f>
        <v>8</v>
      </c>
      <c r="BL13" s="8">
        <f>6*12/9</f>
        <v>8</v>
      </c>
      <c r="BM13" s="8">
        <f>6*12/9</f>
        <v>8</v>
      </c>
      <c r="BN13" s="13">
        <f>6*12/9</f>
        <v>8</v>
      </c>
      <c r="BO13" s="13">
        <f>7*12/9</f>
        <v>9.3333333333333339</v>
      </c>
      <c r="BP13" s="13">
        <f>6*12/9</f>
        <v>8</v>
      </c>
      <c r="BQ13" s="13">
        <f>6*12/9</f>
        <v>8</v>
      </c>
      <c r="BR13" s="13">
        <f>7*12/9</f>
        <v>9.3333333333333339</v>
      </c>
      <c r="BS13" s="13">
        <f>7*12/9</f>
        <v>9.3333333333333339</v>
      </c>
      <c r="BT13" s="13">
        <f>6*12/9</f>
        <v>8</v>
      </c>
      <c r="BU13" s="11"/>
      <c r="BV13" s="7">
        <f t="shared" ref="BV13:BV20" si="2">COUNT(E13:BT13)</f>
        <v>67</v>
      </c>
      <c r="BW13" s="8">
        <f t="shared" ref="BW13:BW20" si="3">SUM(E13:BT13)/BV13</f>
        <v>8.4278606965174117</v>
      </c>
      <c r="BX13" s="7"/>
      <c r="BY13" s="7"/>
      <c r="BZ13" s="7"/>
      <c r="CA13" s="7"/>
      <c r="CB13" s="7"/>
      <c r="CC13" s="7"/>
    </row>
    <row r="14" spans="1:81" ht="24" x14ac:dyDescent="0.3">
      <c r="A14" s="7" t="s">
        <v>12</v>
      </c>
      <c r="B14" s="7" t="s">
        <v>21</v>
      </c>
      <c r="C14" s="13">
        <v>4</v>
      </c>
      <c r="D14" s="7"/>
      <c r="E14" s="8">
        <v>0</v>
      </c>
      <c r="F14" s="8">
        <v>4</v>
      </c>
      <c r="G14" s="8">
        <v>3</v>
      </c>
      <c r="H14" s="8">
        <v>0</v>
      </c>
      <c r="I14" s="8">
        <v>4</v>
      </c>
      <c r="J14" s="8">
        <v>4</v>
      </c>
      <c r="K14" s="8">
        <v>0</v>
      </c>
      <c r="L14" s="8">
        <v>4</v>
      </c>
      <c r="M14" s="8">
        <v>3</v>
      </c>
      <c r="N14" s="8">
        <v>0</v>
      </c>
      <c r="O14" s="8">
        <v>4</v>
      </c>
      <c r="P14" s="8">
        <v>2</v>
      </c>
      <c r="Q14" s="8">
        <v>0</v>
      </c>
      <c r="R14" s="8">
        <v>0</v>
      </c>
      <c r="S14" s="8">
        <v>2</v>
      </c>
      <c r="T14" s="8">
        <v>4</v>
      </c>
      <c r="U14" s="8">
        <v>4</v>
      </c>
      <c r="V14" s="8">
        <v>0</v>
      </c>
      <c r="W14" s="8">
        <v>4</v>
      </c>
      <c r="X14" s="8">
        <v>0</v>
      </c>
      <c r="Y14" s="8">
        <v>4</v>
      </c>
      <c r="Z14" s="8">
        <v>4</v>
      </c>
      <c r="AA14" s="8"/>
      <c r="AB14" s="8">
        <f>5/7*4</f>
        <v>2.8571428571428572</v>
      </c>
      <c r="AC14" s="8">
        <v>0</v>
      </c>
      <c r="AD14" s="8">
        <v>4</v>
      </c>
      <c r="AE14" s="8">
        <v>3</v>
      </c>
      <c r="AF14" s="8">
        <v>4</v>
      </c>
      <c r="AG14" s="8">
        <v>4</v>
      </c>
      <c r="AH14" s="8">
        <v>1</v>
      </c>
      <c r="AI14" s="8">
        <v>1</v>
      </c>
      <c r="AJ14" s="8">
        <v>4</v>
      </c>
      <c r="AK14" s="8">
        <v>0</v>
      </c>
      <c r="AL14" s="8">
        <v>0</v>
      </c>
      <c r="AM14" s="8">
        <v>0</v>
      </c>
      <c r="AN14" s="8">
        <v>0</v>
      </c>
      <c r="AO14" s="8">
        <v>4</v>
      </c>
      <c r="AP14" s="8">
        <v>0</v>
      </c>
      <c r="AQ14" s="8">
        <v>0</v>
      </c>
      <c r="AR14" s="8">
        <v>0</v>
      </c>
      <c r="AS14" s="8">
        <v>0</v>
      </c>
      <c r="AT14" s="8">
        <v>1</v>
      </c>
      <c r="AU14" s="8">
        <v>0</v>
      </c>
      <c r="AV14" s="8">
        <v>3</v>
      </c>
      <c r="AW14" s="8">
        <v>4</v>
      </c>
      <c r="AX14" s="8">
        <v>4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4</v>
      </c>
      <c r="BH14" s="8">
        <v>3</v>
      </c>
      <c r="BI14" s="8">
        <v>4</v>
      </c>
      <c r="BJ14" s="8">
        <v>0</v>
      </c>
      <c r="BK14" s="8">
        <v>3</v>
      </c>
      <c r="BL14" s="8">
        <v>0</v>
      </c>
      <c r="BM14" s="8">
        <v>0</v>
      </c>
      <c r="BN14" s="13">
        <v>4</v>
      </c>
      <c r="BO14" s="13">
        <v>0</v>
      </c>
      <c r="BP14" s="13">
        <v>3</v>
      </c>
      <c r="BQ14" s="13">
        <v>0</v>
      </c>
      <c r="BR14" s="13">
        <v>0</v>
      </c>
      <c r="BS14" s="13">
        <v>0</v>
      </c>
      <c r="BT14" s="13">
        <v>0</v>
      </c>
      <c r="BU14" s="11"/>
      <c r="BV14" s="7">
        <f t="shared" si="2"/>
        <v>67</v>
      </c>
      <c r="BW14" s="8">
        <f t="shared" si="3"/>
        <v>1.6695095948827292</v>
      </c>
      <c r="BX14" s="7"/>
      <c r="BY14" s="7"/>
      <c r="BZ14" s="7"/>
      <c r="CA14" s="7"/>
      <c r="CB14" s="7"/>
      <c r="CC14" s="7"/>
    </row>
    <row r="15" spans="1:81" ht="24" x14ac:dyDescent="0.3">
      <c r="A15" s="7" t="s">
        <v>13</v>
      </c>
      <c r="B15" s="7" t="s">
        <v>22</v>
      </c>
      <c r="C15" s="13">
        <v>9</v>
      </c>
      <c r="D15" s="7"/>
      <c r="E15" s="8">
        <f>1/9</f>
        <v>0.1111111111111111</v>
      </c>
      <c r="F15" s="8">
        <f>2*5/9</f>
        <v>1.1111111111111112</v>
      </c>
      <c r="G15" s="8">
        <f>2*5/9</f>
        <v>1.1111111111111112</v>
      </c>
      <c r="H15" s="8">
        <v>0.55555555555555558</v>
      </c>
      <c r="I15" s="8">
        <v>0</v>
      </c>
      <c r="J15" s="8">
        <v>3</v>
      </c>
      <c r="K15" s="8">
        <v>6</v>
      </c>
      <c r="L15" s="8">
        <v>6</v>
      </c>
      <c r="M15" s="8">
        <v>1</v>
      </c>
      <c r="N15" s="8">
        <v>4</v>
      </c>
      <c r="O15" s="8">
        <v>9</v>
      </c>
      <c r="P15" s="8">
        <v>4</v>
      </c>
      <c r="Q15" s="8">
        <v>5</v>
      </c>
      <c r="R15" s="8">
        <v>3</v>
      </c>
      <c r="S15" s="8">
        <v>5</v>
      </c>
      <c r="T15" s="8">
        <v>5</v>
      </c>
      <c r="U15" s="8">
        <v>7</v>
      </c>
      <c r="V15" s="8">
        <v>6</v>
      </c>
      <c r="W15" s="8">
        <v>5</v>
      </c>
      <c r="X15" s="8">
        <v>5</v>
      </c>
      <c r="Y15" s="8">
        <v>5</v>
      </c>
      <c r="Z15" s="8">
        <v>4</v>
      </c>
      <c r="AA15" s="8"/>
      <c r="AB15" s="8">
        <v>6</v>
      </c>
      <c r="AC15" s="8">
        <v>6</v>
      </c>
      <c r="AD15" s="8">
        <v>7</v>
      </c>
      <c r="AE15" s="8">
        <v>4</v>
      </c>
      <c r="AF15" s="8">
        <v>6</v>
      </c>
      <c r="AG15" s="8">
        <v>5</v>
      </c>
      <c r="AH15" s="8">
        <v>3</v>
      </c>
      <c r="AI15" s="8">
        <v>4</v>
      </c>
      <c r="AJ15" s="8">
        <v>5</v>
      </c>
      <c r="AK15" s="8">
        <v>4</v>
      </c>
      <c r="AL15" s="8">
        <v>4</v>
      </c>
      <c r="AM15" s="8">
        <v>5</v>
      </c>
      <c r="AN15" s="8">
        <v>7</v>
      </c>
      <c r="AO15" s="8">
        <v>5</v>
      </c>
      <c r="AP15" s="8">
        <v>6</v>
      </c>
      <c r="AQ15" s="8">
        <v>6</v>
      </c>
      <c r="AR15" s="8">
        <v>5</v>
      </c>
      <c r="AS15" s="8">
        <v>5</v>
      </c>
      <c r="AT15" s="8">
        <v>4</v>
      </c>
      <c r="AU15" s="8">
        <v>2</v>
      </c>
      <c r="AV15" s="8">
        <v>7</v>
      </c>
      <c r="AW15" s="8">
        <v>5</v>
      </c>
      <c r="AX15" s="8">
        <v>2</v>
      </c>
      <c r="AY15" s="8">
        <v>5</v>
      </c>
      <c r="AZ15" s="8">
        <v>5</v>
      </c>
      <c r="BA15" s="8">
        <v>6</v>
      </c>
      <c r="BB15" s="8">
        <v>4</v>
      </c>
      <c r="BC15" s="8">
        <v>4</v>
      </c>
      <c r="BD15" s="8">
        <v>5</v>
      </c>
      <c r="BE15" s="8">
        <v>5</v>
      </c>
      <c r="BF15" s="8">
        <v>7</v>
      </c>
      <c r="BG15" s="8">
        <v>5</v>
      </c>
      <c r="BH15" s="8">
        <v>8</v>
      </c>
      <c r="BI15" s="8">
        <v>6</v>
      </c>
      <c r="BJ15" s="8">
        <v>5</v>
      </c>
      <c r="BK15" s="8">
        <v>5</v>
      </c>
      <c r="BL15" s="8">
        <v>5</v>
      </c>
      <c r="BM15" s="8">
        <v>5</v>
      </c>
      <c r="BN15" s="13">
        <v>6</v>
      </c>
      <c r="BO15" s="13">
        <v>4</v>
      </c>
      <c r="BP15" s="13">
        <v>6</v>
      </c>
      <c r="BQ15" s="13">
        <v>3</v>
      </c>
      <c r="BR15" s="13">
        <v>6</v>
      </c>
      <c r="BS15" s="13">
        <v>5</v>
      </c>
      <c r="BT15" s="13">
        <v>5</v>
      </c>
      <c r="BU15" s="11"/>
      <c r="BV15" s="7">
        <f t="shared" si="2"/>
        <v>67</v>
      </c>
      <c r="BW15" s="8">
        <f t="shared" si="3"/>
        <v>4.6849087893864017</v>
      </c>
      <c r="BX15" s="7"/>
      <c r="BY15" s="7"/>
      <c r="BZ15" s="7"/>
      <c r="CA15" s="7"/>
      <c r="CB15" s="7"/>
      <c r="CC15" s="7"/>
    </row>
    <row r="16" spans="1:81" ht="24" x14ac:dyDescent="0.3">
      <c r="A16" s="7" t="s">
        <v>14</v>
      </c>
      <c r="B16" s="7" t="s">
        <v>23</v>
      </c>
      <c r="C16" s="13">
        <v>8</v>
      </c>
      <c r="D16" s="7"/>
      <c r="E16" s="8">
        <f>1/9</f>
        <v>0.1111111111111111</v>
      </c>
      <c r="F16" s="8">
        <f>2*7/9</f>
        <v>1.5555555555555556</v>
      </c>
      <c r="G16" s="8">
        <f>4*7/9</f>
        <v>3.1111111111111112</v>
      </c>
      <c r="H16" s="8">
        <f>2*7/8</f>
        <v>1.75</v>
      </c>
      <c r="I16" s="8">
        <v>0</v>
      </c>
      <c r="J16" s="8">
        <v>2</v>
      </c>
      <c r="K16" s="8">
        <f>3*7/8</f>
        <v>2.625</v>
      </c>
      <c r="L16" s="8">
        <f>5*7/8</f>
        <v>4.375</v>
      </c>
      <c r="M16" s="8">
        <v>0</v>
      </c>
      <c r="N16" s="8">
        <f>2*7/8</f>
        <v>1.75</v>
      </c>
      <c r="O16" s="8">
        <v>7</v>
      </c>
      <c r="P16" s="8">
        <v>1</v>
      </c>
      <c r="Q16" s="8">
        <v>0</v>
      </c>
      <c r="R16" s="8">
        <v>0</v>
      </c>
      <c r="S16" s="8">
        <f>3*7/8</f>
        <v>2.625</v>
      </c>
      <c r="T16" s="8">
        <f>4*7/8</f>
        <v>3.5</v>
      </c>
      <c r="U16" s="8">
        <f>4*7/8</f>
        <v>3.5</v>
      </c>
      <c r="V16" s="8">
        <f>4*7/8</f>
        <v>3.5</v>
      </c>
      <c r="W16" s="8">
        <f>3*7/8</f>
        <v>2.625</v>
      </c>
      <c r="X16" s="8">
        <f>4*7/8</f>
        <v>3.5</v>
      </c>
      <c r="Y16" s="8">
        <f>3*7/8</f>
        <v>2.625</v>
      </c>
      <c r="Z16" s="8">
        <f>2*7/8</f>
        <v>1.75</v>
      </c>
      <c r="AA16" s="8"/>
      <c r="AB16" s="8">
        <f>7*4/8</f>
        <v>3.5</v>
      </c>
      <c r="AC16" s="8">
        <f>3*7/8</f>
        <v>2.625</v>
      </c>
      <c r="AD16" s="8">
        <f>2*7/8</f>
        <v>1.75</v>
      </c>
      <c r="AE16" s="8">
        <f>3*7/8</f>
        <v>2.625</v>
      </c>
      <c r="AF16" s="8">
        <v>1</v>
      </c>
      <c r="AG16" s="8">
        <v>1</v>
      </c>
      <c r="AH16" s="8">
        <v>1</v>
      </c>
      <c r="AI16" s="8">
        <v>1</v>
      </c>
      <c r="AJ16" s="8">
        <v>0</v>
      </c>
      <c r="AK16" s="8">
        <v>1</v>
      </c>
      <c r="AL16" s="8">
        <v>0</v>
      </c>
      <c r="AM16" s="8">
        <f>2*7/8</f>
        <v>1.75</v>
      </c>
      <c r="AN16" s="8">
        <v>2</v>
      </c>
      <c r="AO16" s="8">
        <f>3*7/8</f>
        <v>2.625</v>
      </c>
      <c r="AP16" s="8">
        <f>3*7/8</f>
        <v>2.625</v>
      </c>
      <c r="AQ16" s="8">
        <v>0</v>
      </c>
      <c r="AR16" s="8">
        <v>0</v>
      </c>
      <c r="AS16" s="8">
        <f>3*7/8</f>
        <v>2.625</v>
      </c>
      <c r="AT16" s="8">
        <v>1</v>
      </c>
      <c r="AU16" s="8">
        <v>0</v>
      </c>
      <c r="AV16" s="8">
        <f>2*7/8</f>
        <v>1.75</v>
      </c>
      <c r="AW16" s="8">
        <v>1</v>
      </c>
      <c r="AX16" s="8">
        <v>0</v>
      </c>
      <c r="AY16" s="8">
        <f>4*7/8</f>
        <v>3.5</v>
      </c>
      <c r="AZ16" s="8">
        <v>0</v>
      </c>
      <c r="BA16" s="8">
        <f>3*7/8</f>
        <v>2.625</v>
      </c>
      <c r="BB16" s="8">
        <f>2*7/8</f>
        <v>1.75</v>
      </c>
      <c r="BC16" s="8">
        <v>0</v>
      </c>
      <c r="BD16" s="8">
        <f>5*7/8</f>
        <v>4.375</v>
      </c>
      <c r="BE16" s="8">
        <f>3*7/8</f>
        <v>2.625</v>
      </c>
      <c r="BF16" s="8">
        <f>5*7/8</f>
        <v>4.375</v>
      </c>
      <c r="BG16" s="8">
        <v>1</v>
      </c>
      <c r="BH16" s="8">
        <f>3*7/8</f>
        <v>2.625</v>
      </c>
      <c r="BI16" s="8">
        <f>2*7/8</f>
        <v>1.75</v>
      </c>
      <c r="BJ16" s="8">
        <v>0</v>
      </c>
      <c r="BK16" s="8">
        <f>2*7/8</f>
        <v>1.75</v>
      </c>
      <c r="BL16" s="8">
        <f>2*7/8</f>
        <v>1.75</v>
      </c>
      <c r="BM16" s="8">
        <f>2*7/8</f>
        <v>1.75</v>
      </c>
      <c r="BN16" s="13">
        <f>4*7/8</f>
        <v>3.5</v>
      </c>
      <c r="BO16" s="13">
        <f>2*7/8</f>
        <v>1.75</v>
      </c>
      <c r="BP16" s="13">
        <f>2*7/8</f>
        <v>1.75</v>
      </c>
      <c r="BQ16" s="13">
        <f>2*7/8</f>
        <v>1.75</v>
      </c>
      <c r="BR16" s="13">
        <v>1</v>
      </c>
      <c r="BS16" s="13">
        <v>0</v>
      </c>
      <c r="BT16" s="13">
        <f>2*7/8</f>
        <v>1.75</v>
      </c>
      <c r="BU16" s="11"/>
      <c r="BV16" s="7">
        <f>COUNT(E16:BT16)</f>
        <v>67</v>
      </c>
      <c r="BW16" s="8">
        <f>SUM(E16:BT16)/BV16</f>
        <v>1.8082504145936982</v>
      </c>
      <c r="BX16" s="7"/>
      <c r="BY16" s="7"/>
      <c r="BZ16" s="7"/>
      <c r="CA16" s="7"/>
      <c r="CB16" s="7"/>
      <c r="CC16" s="7"/>
    </row>
    <row r="17" spans="1:81" ht="24" x14ac:dyDescent="0.3">
      <c r="A17" s="7" t="s">
        <v>15</v>
      </c>
      <c r="B17" s="7" t="s">
        <v>24</v>
      </c>
      <c r="C17" s="13">
        <v>4</v>
      </c>
      <c r="D17" s="7"/>
      <c r="E17" s="8">
        <v>2</v>
      </c>
      <c r="F17" s="8">
        <v>2</v>
      </c>
      <c r="G17" s="8">
        <v>2</v>
      </c>
      <c r="H17" s="8">
        <v>2</v>
      </c>
      <c r="I17" s="8">
        <v>3</v>
      </c>
      <c r="J17" s="8">
        <v>3</v>
      </c>
      <c r="K17" s="8">
        <v>4</v>
      </c>
      <c r="L17" s="8">
        <v>3</v>
      </c>
      <c r="M17" s="8">
        <v>2</v>
      </c>
      <c r="N17" s="8">
        <v>3</v>
      </c>
      <c r="O17" s="8">
        <v>4</v>
      </c>
      <c r="P17" s="8">
        <v>2</v>
      </c>
      <c r="Q17" s="8">
        <v>2</v>
      </c>
      <c r="R17" s="8">
        <v>3</v>
      </c>
      <c r="S17" s="8">
        <v>3</v>
      </c>
      <c r="T17" s="8">
        <v>2</v>
      </c>
      <c r="U17" s="8">
        <v>3</v>
      </c>
      <c r="V17" s="8">
        <v>3</v>
      </c>
      <c r="W17" s="8">
        <v>3</v>
      </c>
      <c r="X17" s="8">
        <v>2</v>
      </c>
      <c r="Y17" s="8">
        <v>3</v>
      </c>
      <c r="Z17" s="8">
        <v>3</v>
      </c>
      <c r="AA17" s="8"/>
      <c r="AB17" s="8">
        <v>3</v>
      </c>
      <c r="AC17" s="8">
        <v>3</v>
      </c>
      <c r="AD17" s="8">
        <v>3</v>
      </c>
      <c r="AE17" s="8">
        <v>2</v>
      </c>
      <c r="AF17" s="8">
        <v>3</v>
      </c>
      <c r="AG17" s="8">
        <v>2</v>
      </c>
      <c r="AH17" s="8">
        <v>2</v>
      </c>
      <c r="AI17" s="8">
        <v>2</v>
      </c>
      <c r="AJ17" s="8">
        <v>3</v>
      </c>
      <c r="AK17" s="8">
        <v>2</v>
      </c>
      <c r="AL17" s="8">
        <v>3</v>
      </c>
      <c r="AM17" s="8">
        <v>3</v>
      </c>
      <c r="AN17" s="8">
        <v>2</v>
      </c>
      <c r="AO17" s="8">
        <v>3</v>
      </c>
      <c r="AP17" s="8">
        <v>3</v>
      </c>
      <c r="AQ17" s="8">
        <v>2</v>
      </c>
      <c r="AR17" s="8">
        <v>3</v>
      </c>
      <c r="AS17" s="8">
        <v>2</v>
      </c>
      <c r="AT17" s="8">
        <v>2</v>
      </c>
      <c r="AU17" s="8">
        <v>2</v>
      </c>
      <c r="AV17" s="8">
        <v>3</v>
      </c>
      <c r="AW17" s="8">
        <v>3</v>
      </c>
      <c r="AX17" s="8">
        <v>3</v>
      </c>
      <c r="AY17" s="8">
        <v>2</v>
      </c>
      <c r="AZ17" s="8">
        <v>2</v>
      </c>
      <c r="BA17" s="8">
        <v>2</v>
      </c>
      <c r="BB17" s="8">
        <v>3</v>
      </c>
      <c r="BC17" s="8">
        <v>2</v>
      </c>
      <c r="BD17" s="8">
        <v>3</v>
      </c>
      <c r="BE17" s="8">
        <v>3</v>
      </c>
      <c r="BF17" s="8">
        <v>2</v>
      </c>
      <c r="BG17" s="8">
        <v>3</v>
      </c>
      <c r="BH17" s="8">
        <v>4</v>
      </c>
      <c r="BI17" s="8">
        <v>3</v>
      </c>
      <c r="BJ17" s="8">
        <v>3</v>
      </c>
      <c r="BK17" s="8">
        <v>3</v>
      </c>
      <c r="BL17" s="8">
        <v>3</v>
      </c>
      <c r="BM17" s="8">
        <v>3</v>
      </c>
      <c r="BN17" s="13">
        <v>3</v>
      </c>
      <c r="BO17" s="13">
        <v>2</v>
      </c>
      <c r="BP17" s="13">
        <v>3</v>
      </c>
      <c r="BQ17" s="13">
        <v>3</v>
      </c>
      <c r="BR17" s="13">
        <v>3</v>
      </c>
      <c r="BS17" s="13">
        <v>2</v>
      </c>
      <c r="BT17" s="13">
        <v>2</v>
      </c>
      <c r="BU17" s="11"/>
      <c r="BV17" s="7">
        <f>COUNT(E17:BT17)</f>
        <v>67</v>
      </c>
      <c r="BW17" s="8">
        <f>SUM(E17:BT17)/BV17</f>
        <v>2.6417910447761193</v>
      </c>
      <c r="BX17" s="7"/>
      <c r="BY17" s="7"/>
      <c r="BZ17" s="7"/>
      <c r="CA17" s="7"/>
      <c r="CB17" s="7"/>
      <c r="CC17" s="7"/>
    </row>
    <row r="18" spans="1:81" ht="24" x14ac:dyDescent="0.3">
      <c r="A18" s="7" t="s">
        <v>16</v>
      </c>
      <c r="B18" s="7" t="s">
        <v>25</v>
      </c>
      <c r="C18" s="13">
        <v>9</v>
      </c>
      <c r="D18" s="7"/>
      <c r="E18" s="8">
        <v>0</v>
      </c>
      <c r="F18" s="8">
        <v>9</v>
      </c>
      <c r="G18" s="8">
        <v>9</v>
      </c>
      <c r="H18" s="8">
        <v>0</v>
      </c>
      <c r="I18" s="8">
        <v>0</v>
      </c>
      <c r="J18" s="8">
        <v>4</v>
      </c>
      <c r="K18" s="8">
        <v>0</v>
      </c>
      <c r="L18" s="8">
        <v>9</v>
      </c>
      <c r="M18" s="8">
        <v>0</v>
      </c>
      <c r="N18" s="8">
        <v>9</v>
      </c>
      <c r="O18" s="8">
        <v>0</v>
      </c>
      <c r="P18" s="8">
        <v>9</v>
      </c>
      <c r="Q18" s="8">
        <v>9</v>
      </c>
      <c r="R18" s="8">
        <v>0</v>
      </c>
      <c r="S18" s="8">
        <v>9</v>
      </c>
      <c r="T18" s="8">
        <v>9</v>
      </c>
      <c r="U18" s="8">
        <v>9</v>
      </c>
      <c r="V18" s="8">
        <v>9</v>
      </c>
      <c r="W18" s="8">
        <v>9</v>
      </c>
      <c r="X18" s="8">
        <v>0</v>
      </c>
      <c r="Y18" s="8">
        <v>9</v>
      </c>
      <c r="Z18" s="8">
        <v>9</v>
      </c>
      <c r="AA18" s="8"/>
      <c r="AB18" s="8">
        <v>5</v>
      </c>
      <c r="AC18" s="8">
        <v>0</v>
      </c>
      <c r="AD18" s="8">
        <v>8</v>
      </c>
      <c r="AE18" s="8">
        <v>0</v>
      </c>
      <c r="AF18" s="8">
        <v>9</v>
      </c>
      <c r="AG18" s="8">
        <v>9</v>
      </c>
      <c r="AH18" s="8">
        <v>0</v>
      </c>
      <c r="AI18" s="8">
        <v>9</v>
      </c>
      <c r="AJ18" s="8">
        <v>0</v>
      </c>
      <c r="AK18" s="8">
        <v>9</v>
      </c>
      <c r="AL18" s="8">
        <v>0</v>
      </c>
      <c r="AM18" s="8">
        <v>9</v>
      </c>
      <c r="AN18" s="8">
        <v>9</v>
      </c>
      <c r="AO18" s="8">
        <v>8</v>
      </c>
      <c r="AP18" s="8">
        <v>9</v>
      </c>
      <c r="AQ18" s="8">
        <v>0</v>
      </c>
      <c r="AR18" s="8">
        <v>0</v>
      </c>
      <c r="AS18" s="8">
        <v>3</v>
      </c>
      <c r="AT18" s="8">
        <v>3</v>
      </c>
      <c r="AU18" s="8">
        <v>0</v>
      </c>
      <c r="AV18" s="8">
        <v>9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7</v>
      </c>
      <c r="BC18" s="8">
        <v>0</v>
      </c>
      <c r="BD18" s="8">
        <v>0</v>
      </c>
      <c r="BE18" s="8">
        <v>0</v>
      </c>
      <c r="BF18" s="8">
        <v>9</v>
      </c>
      <c r="BG18" s="8">
        <v>9</v>
      </c>
      <c r="BH18" s="8">
        <v>4</v>
      </c>
      <c r="BI18" s="8">
        <v>9</v>
      </c>
      <c r="BJ18" s="8">
        <v>0</v>
      </c>
      <c r="BK18" s="8">
        <v>0</v>
      </c>
      <c r="BL18" s="8">
        <v>8</v>
      </c>
      <c r="BM18" s="8">
        <v>0</v>
      </c>
      <c r="BN18" s="13">
        <v>9</v>
      </c>
      <c r="BO18" s="13">
        <v>8</v>
      </c>
      <c r="BP18" s="13">
        <v>9</v>
      </c>
      <c r="BQ18" s="13">
        <v>0</v>
      </c>
      <c r="BR18" s="13">
        <v>9</v>
      </c>
      <c r="BS18" s="13">
        <v>0</v>
      </c>
      <c r="BT18" s="13">
        <v>0</v>
      </c>
      <c r="BU18" s="11"/>
      <c r="BV18" s="7">
        <f t="shared" si="2"/>
        <v>67</v>
      </c>
      <c r="BW18" s="8">
        <f t="shared" si="3"/>
        <v>4.4925373134328357</v>
      </c>
      <c r="BX18" s="7"/>
      <c r="BY18" s="7"/>
      <c r="BZ18" s="7"/>
      <c r="CA18" s="7"/>
      <c r="CB18" s="7"/>
      <c r="CC18" s="7"/>
    </row>
    <row r="19" spans="1:81" ht="24" x14ac:dyDescent="0.3">
      <c r="A19" s="7" t="s">
        <v>17</v>
      </c>
      <c r="B19" s="7" t="s">
        <v>26</v>
      </c>
      <c r="C19" s="13">
        <v>8</v>
      </c>
      <c r="D19" s="7"/>
      <c r="E19" s="8">
        <v>0</v>
      </c>
      <c r="F19" s="8">
        <v>0</v>
      </c>
      <c r="G19" s="8">
        <v>7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4</v>
      </c>
      <c r="R19" s="8">
        <v>0</v>
      </c>
      <c r="S19" s="8">
        <v>0</v>
      </c>
      <c r="T19" s="8">
        <v>0</v>
      </c>
      <c r="U19" s="8">
        <v>8</v>
      </c>
      <c r="V19" s="8">
        <v>8</v>
      </c>
      <c r="W19" s="8">
        <v>4</v>
      </c>
      <c r="X19" s="8">
        <v>0</v>
      </c>
      <c r="Y19" s="8">
        <v>4</v>
      </c>
      <c r="Z19" s="8">
        <v>0</v>
      </c>
      <c r="AA19" s="8"/>
      <c r="AB19" s="8">
        <v>0</v>
      </c>
      <c r="AC19" s="8">
        <v>0</v>
      </c>
      <c r="AD19" s="8">
        <v>4</v>
      </c>
      <c r="AE19" s="8">
        <v>0</v>
      </c>
      <c r="AF19" s="8">
        <v>6</v>
      </c>
      <c r="AG19" s="8">
        <v>4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4</v>
      </c>
      <c r="AO19" s="8">
        <v>4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8</v>
      </c>
      <c r="BG19" s="8">
        <v>0</v>
      </c>
      <c r="BH19" s="8">
        <v>0</v>
      </c>
      <c r="BI19" s="8">
        <v>0</v>
      </c>
      <c r="BJ19" s="8">
        <v>4</v>
      </c>
      <c r="BK19" s="8">
        <v>0</v>
      </c>
      <c r="BL19" s="8">
        <v>0</v>
      </c>
      <c r="BM19" s="8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1"/>
      <c r="BV19" s="7">
        <f t="shared" si="2"/>
        <v>67</v>
      </c>
      <c r="BW19" s="8">
        <f t="shared" si="3"/>
        <v>1.0298507462686568</v>
      </c>
      <c r="BX19" s="7"/>
      <c r="BY19" s="7"/>
      <c r="BZ19" s="7"/>
      <c r="CA19" s="7"/>
      <c r="CB19" s="7"/>
      <c r="CC19" s="7"/>
    </row>
    <row r="20" spans="1:81" ht="36" x14ac:dyDescent="0.3">
      <c r="A20" s="7" t="s">
        <v>18</v>
      </c>
      <c r="B20" s="7" t="s">
        <v>27</v>
      </c>
      <c r="C20" s="13">
        <v>6</v>
      </c>
      <c r="D20" s="7"/>
      <c r="E20" s="8">
        <v>3</v>
      </c>
      <c r="F20" s="8">
        <v>6</v>
      </c>
      <c r="G20" s="8">
        <v>6</v>
      </c>
      <c r="H20" s="8">
        <v>0</v>
      </c>
      <c r="I20" s="8">
        <v>3</v>
      </c>
      <c r="J20" s="8">
        <v>5</v>
      </c>
      <c r="K20" s="8">
        <v>1</v>
      </c>
      <c r="L20" s="8">
        <v>6</v>
      </c>
      <c r="M20" s="8">
        <v>5</v>
      </c>
      <c r="N20" s="8">
        <v>6</v>
      </c>
      <c r="O20" s="8">
        <v>3</v>
      </c>
      <c r="P20" s="8">
        <v>6</v>
      </c>
      <c r="Q20" s="8">
        <v>3</v>
      </c>
      <c r="R20" s="8">
        <v>3</v>
      </c>
      <c r="S20" s="8">
        <v>4</v>
      </c>
      <c r="T20" s="8">
        <v>6</v>
      </c>
      <c r="U20" s="8">
        <v>6</v>
      </c>
      <c r="V20" s="8">
        <v>3</v>
      </c>
      <c r="W20" s="8">
        <v>6</v>
      </c>
      <c r="X20" s="8">
        <v>2</v>
      </c>
      <c r="Y20" s="8">
        <v>6</v>
      </c>
      <c r="Z20" s="8">
        <v>4</v>
      </c>
      <c r="AA20" s="8"/>
      <c r="AB20" s="8">
        <v>5</v>
      </c>
      <c r="AC20" s="8">
        <v>3</v>
      </c>
      <c r="AD20" s="8">
        <v>6</v>
      </c>
      <c r="AE20" s="8">
        <v>5</v>
      </c>
      <c r="AF20" s="8">
        <v>3</v>
      </c>
      <c r="AG20" s="8">
        <v>6</v>
      </c>
      <c r="AH20" s="8">
        <v>4</v>
      </c>
      <c r="AI20" s="8">
        <v>4</v>
      </c>
      <c r="AJ20" s="8">
        <v>2</v>
      </c>
      <c r="AK20" s="8">
        <v>2</v>
      </c>
      <c r="AL20" s="8">
        <v>2</v>
      </c>
      <c r="AM20" s="8">
        <v>2</v>
      </c>
      <c r="AN20" s="8">
        <v>3</v>
      </c>
      <c r="AO20" s="8">
        <v>5</v>
      </c>
      <c r="AP20" s="8">
        <v>3</v>
      </c>
      <c r="AQ20" s="8">
        <v>2</v>
      </c>
      <c r="AR20" s="8">
        <v>3</v>
      </c>
      <c r="AS20" s="8">
        <v>3</v>
      </c>
      <c r="AT20" s="8">
        <v>4</v>
      </c>
      <c r="AU20" s="8">
        <v>3</v>
      </c>
      <c r="AV20" s="8">
        <v>6</v>
      </c>
      <c r="AW20" s="8">
        <v>6</v>
      </c>
      <c r="AX20" s="8">
        <v>6</v>
      </c>
      <c r="AY20" s="8">
        <v>3</v>
      </c>
      <c r="AZ20" s="8">
        <v>3</v>
      </c>
      <c r="BA20" s="8">
        <v>4</v>
      </c>
      <c r="BB20" s="8">
        <v>2</v>
      </c>
      <c r="BC20" s="8">
        <v>0</v>
      </c>
      <c r="BD20" s="8">
        <v>2</v>
      </c>
      <c r="BE20" s="8">
        <v>3</v>
      </c>
      <c r="BF20" s="8">
        <v>3</v>
      </c>
      <c r="BG20" s="8">
        <v>6</v>
      </c>
      <c r="BH20" s="8">
        <v>5</v>
      </c>
      <c r="BI20" s="8">
        <v>6</v>
      </c>
      <c r="BJ20" s="8">
        <v>3</v>
      </c>
      <c r="BK20" s="8">
        <v>5</v>
      </c>
      <c r="BL20" s="8">
        <v>3</v>
      </c>
      <c r="BM20" s="8">
        <v>3</v>
      </c>
      <c r="BN20" s="13">
        <v>6</v>
      </c>
      <c r="BO20" s="13">
        <v>2</v>
      </c>
      <c r="BP20" s="13">
        <v>3</v>
      </c>
      <c r="BQ20" s="13">
        <v>3</v>
      </c>
      <c r="BR20" s="13">
        <v>3</v>
      </c>
      <c r="BS20" s="13">
        <v>3</v>
      </c>
      <c r="BT20" s="13">
        <v>1</v>
      </c>
      <c r="BU20" s="11"/>
      <c r="BV20" s="7">
        <f t="shared" si="2"/>
        <v>67</v>
      </c>
      <c r="BW20" s="8">
        <f t="shared" si="3"/>
        <v>3.7761194029850746</v>
      </c>
      <c r="BX20" s="7"/>
      <c r="BY20" s="7"/>
      <c r="BZ20" s="7"/>
      <c r="CA20" s="7"/>
      <c r="CB20" s="7"/>
      <c r="CC20" s="7"/>
    </row>
    <row r="21" spans="1:81" ht="12" customHeight="1" x14ac:dyDescent="0.3">
      <c r="A21" s="14" t="s">
        <v>19</v>
      </c>
      <c r="B21" s="14"/>
      <c r="C21" s="13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13"/>
      <c r="BO21" s="13"/>
      <c r="BP21" s="13"/>
      <c r="BQ21" s="13"/>
      <c r="BR21" s="13"/>
      <c r="BS21" s="13"/>
      <c r="BT21" s="13"/>
      <c r="BU21" s="7"/>
      <c r="BV21" s="7"/>
      <c r="BW21" s="8"/>
      <c r="BX21" s="7"/>
      <c r="BY21" s="7"/>
      <c r="BZ21" s="7"/>
      <c r="CA21" s="7"/>
      <c r="CB21" s="7"/>
      <c r="CC21" s="7"/>
    </row>
    <row r="22" spans="1:81" ht="12" customHeight="1" x14ac:dyDescent="0.3">
      <c r="A22" s="7"/>
      <c r="B22" s="7"/>
      <c r="C22" s="11">
        <f>SUM(C3:C20)</f>
        <v>100</v>
      </c>
      <c r="D22" s="7"/>
      <c r="E22" s="11">
        <f t="shared" ref="E22:Z22" si="4">SUM(E3:E20)</f>
        <v>23.222222222222221</v>
      </c>
      <c r="F22" s="11">
        <f t="shared" si="4"/>
        <v>46.666666666666671</v>
      </c>
      <c r="G22" s="11">
        <f t="shared" si="4"/>
        <v>60.555555555555557</v>
      </c>
      <c r="H22" s="11">
        <f t="shared" si="4"/>
        <v>32.305555555555557</v>
      </c>
      <c r="I22" s="11">
        <f t="shared" si="4"/>
        <v>23</v>
      </c>
      <c r="J22" s="11">
        <f t="shared" si="4"/>
        <v>45.333333333333336</v>
      </c>
      <c r="K22" s="11">
        <f t="shared" si="4"/>
        <v>37.958333333333336</v>
      </c>
      <c r="L22" s="11">
        <f t="shared" si="4"/>
        <v>60.375</v>
      </c>
      <c r="M22" s="11">
        <f t="shared" si="4"/>
        <v>27.666666666666668</v>
      </c>
      <c r="N22" s="11">
        <f t="shared" si="4"/>
        <v>41.75</v>
      </c>
      <c r="O22" s="11">
        <f t="shared" si="4"/>
        <v>69</v>
      </c>
      <c r="P22" s="11">
        <f t="shared" si="4"/>
        <v>40.666666666666671</v>
      </c>
      <c r="Q22" s="11">
        <f t="shared" si="4"/>
        <v>47.333333333333336</v>
      </c>
      <c r="R22" s="11">
        <f t="shared" si="4"/>
        <v>42</v>
      </c>
      <c r="S22" s="11">
        <f t="shared" si="4"/>
        <v>43.625</v>
      </c>
      <c r="T22" s="11">
        <f t="shared" si="4"/>
        <v>47.5</v>
      </c>
      <c r="U22" s="11">
        <f t="shared" si="4"/>
        <v>69.833333333333343</v>
      </c>
      <c r="V22" s="11">
        <f t="shared" si="4"/>
        <v>56.833333333333336</v>
      </c>
      <c r="W22" s="11">
        <f t="shared" si="4"/>
        <v>51.625</v>
      </c>
      <c r="X22" s="11">
        <f t="shared" si="4"/>
        <v>35.5</v>
      </c>
      <c r="Y22" s="11">
        <f t="shared" si="4"/>
        <v>56.625</v>
      </c>
      <c r="Z22" s="11">
        <f t="shared" si="4"/>
        <v>32.416666666666671</v>
      </c>
      <c r="AA22" s="11"/>
      <c r="AB22" s="11">
        <f t="shared" ref="AB22:BT22" si="5">SUM(AB3:AB20)</f>
        <v>49.69047619047619</v>
      </c>
      <c r="AC22" s="11">
        <f t="shared" si="5"/>
        <v>48.958333333333336</v>
      </c>
      <c r="AD22" s="11">
        <f t="shared" si="5"/>
        <v>49.416666666666664</v>
      </c>
      <c r="AE22" s="11">
        <f t="shared" si="5"/>
        <v>38.291666666666671</v>
      </c>
      <c r="AF22" s="11">
        <f t="shared" si="5"/>
        <v>61.333333333333336</v>
      </c>
      <c r="AG22" s="11">
        <f t="shared" si="5"/>
        <v>42.666666666666671</v>
      </c>
      <c r="AH22" s="11">
        <f t="shared" si="5"/>
        <v>44</v>
      </c>
      <c r="AI22" s="11">
        <f t="shared" si="5"/>
        <v>37.666666666666671</v>
      </c>
      <c r="AJ22" s="11">
        <f t="shared" si="5"/>
        <v>32</v>
      </c>
      <c r="AK22" s="11">
        <f t="shared" si="5"/>
        <v>61</v>
      </c>
      <c r="AL22" s="11">
        <f t="shared" si="5"/>
        <v>28.333333333333336</v>
      </c>
      <c r="AM22" s="11">
        <f t="shared" si="5"/>
        <v>55.083333333333336</v>
      </c>
      <c r="AN22" s="11">
        <f t="shared" si="5"/>
        <v>52.666666666666664</v>
      </c>
      <c r="AO22" s="11">
        <f t="shared" si="5"/>
        <v>64.625</v>
      </c>
      <c r="AP22" s="11">
        <f t="shared" si="5"/>
        <v>46.625</v>
      </c>
      <c r="AQ22" s="11">
        <f t="shared" si="5"/>
        <v>29.333333333333336</v>
      </c>
      <c r="AR22" s="11">
        <f t="shared" si="5"/>
        <v>24</v>
      </c>
      <c r="AS22" s="11">
        <f t="shared" si="5"/>
        <v>42.958333333333329</v>
      </c>
      <c r="AT22" s="11">
        <f t="shared" si="5"/>
        <v>41.666666666666671</v>
      </c>
      <c r="AU22" s="11">
        <f t="shared" si="5"/>
        <v>35</v>
      </c>
      <c r="AV22" s="11">
        <f t="shared" si="5"/>
        <v>64.083333333333343</v>
      </c>
      <c r="AW22" s="11">
        <f t="shared" si="5"/>
        <v>42</v>
      </c>
      <c r="AX22" s="11">
        <f t="shared" si="5"/>
        <v>38</v>
      </c>
      <c r="AY22" s="11">
        <f t="shared" si="5"/>
        <v>36.5</v>
      </c>
      <c r="AZ22" s="11">
        <f t="shared" si="5"/>
        <v>33</v>
      </c>
      <c r="BA22" s="11">
        <f t="shared" si="5"/>
        <v>39.958333333333336</v>
      </c>
      <c r="BB22" s="11">
        <f t="shared" si="5"/>
        <v>40.75</v>
      </c>
      <c r="BC22" s="11">
        <f t="shared" si="5"/>
        <v>34</v>
      </c>
      <c r="BD22" s="11">
        <f t="shared" si="5"/>
        <v>42.375</v>
      </c>
      <c r="BE22" s="11">
        <f t="shared" si="5"/>
        <v>37.958333333333336</v>
      </c>
      <c r="BF22" s="11">
        <f t="shared" si="5"/>
        <v>57.708333333333336</v>
      </c>
      <c r="BG22" s="11">
        <f t="shared" si="5"/>
        <v>41</v>
      </c>
      <c r="BH22" s="12">
        <f t="shared" si="5"/>
        <v>62.291666666666664</v>
      </c>
      <c r="BI22" s="11">
        <f t="shared" si="5"/>
        <v>44.083333333333336</v>
      </c>
      <c r="BJ22" s="11">
        <f t="shared" si="5"/>
        <v>38</v>
      </c>
      <c r="BK22" s="11">
        <f t="shared" si="5"/>
        <v>35.75</v>
      </c>
      <c r="BL22" s="11">
        <f t="shared" si="5"/>
        <v>43.75</v>
      </c>
      <c r="BM22" s="11">
        <f t="shared" si="5"/>
        <v>40.75</v>
      </c>
      <c r="BN22" s="12">
        <f t="shared" si="5"/>
        <v>59.5</v>
      </c>
      <c r="BO22" s="12">
        <f t="shared" si="5"/>
        <v>52.083333333333336</v>
      </c>
      <c r="BP22" s="12">
        <f t="shared" si="5"/>
        <v>48.75</v>
      </c>
      <c r="BQ22" s="12">
        <f t="shared" si="5"/>
        <v>28.75</v>
      </c>
      <c r="BR22" s="12">
        <f t="shared" si="5"/>
        <v>36.333333333333336</v>
      </c>
      <c r="BS22" s="12">
        <f t="shared" si="5"/>
        <v>34.333333333333336</v>
      </c>
      <c r="BT22" s="12">
        <f t="shared" si="5"/>
        <v>17.75</v>
      </c>
      <c r="BU22" s="11"/>
      <c r="BV22" s="7">
        <f>COUNT(E22:BT22)</f>
        <v>67</v>
      </c>
      <c r="BW22" s="8">
        <f>AVERAGE(E22:BT22)</f>
        <v>43.680081734186224</v>
      </c>
      <c r="BX22" s="7">
        <f>MIN(E22:BT22)</f>
        <v>17.75</v>
      </c>
      <c r="BY22" s="7">
        <f>MAX(E22:BT22)</f>
        <v>69.833333333333343</v>
      </c>
      <c r="BZ22" s="15">
        <f>COUNTIF(E22:BT22,"&lt; 55")/BV22</f>
        <v>0.79104477611940294</v>
      </c>
      <c r="CA22" s="15">
        <f>COUNTIF(E22:BT22,"&gt;= 55")/BV22</f>
        <v>0.20895522388059701</v>
      </c>
      <c r="CB22" s="8">
        <f>_xlfn.STDEV.S(E22:BT22)</f>
        <v>11.735126691410887</v>
      </c>
      <c r="CC22" s="7"/>
    </row>
    <row r="23" spans="1:81" ht="12" customHeight="1" x14ac:dyDescent="0.3">
      <c r="A23" s="7"/>
      <c r="B23" s="7"/>
      <c r="C23" s="11"/>
      <c r="D23" s="7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7"/>
      <c r="BV23" s="7"/>
      <c r="BW23" s="8"/>
      <c r="BX23" s="7"/>
      <c r="BY23" s="7"/>
      <c r="BZ23" s="7"/>
      <c r="CA23" s="7"/>
      <c r="CB23" s="7"/>
      <c r="CC23" s="7"/>
    </row>
    <row r="24" spans="1:81" ht="12" customHeight="1" x14ac:dyDescent="0.3">
      <c r="A24" s="7"/>
      <c r="B24" s="7"/>
      <c r="C24" s="1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8"/>
      <c r="BX24" s="7"/>
      <c r="BY24" s="7"/>
      <c r="BZ24" s="7"/>
      <c r="CA24" s="7"/>
      <c r="CB24" s="7"/>
      <c r="CC24" s="7"/>
    </row>
    <row r="25" spans="1:81" ht="12" customHeight="1" x14ac:dyDescent="0.3">
      <c r="A25" s="7"/>
      <c r="B25" s="7"/>
      <c r="C25" s="1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8"/>
      <c r="BX25" s="7"/>
      <c r="BY25" s="7"/>
      <c r="BZ25" s="7"/>
      <c r="CA25" s="7"/>
      <c r="CB25" s="7"/>
      <c r="CC25" s="7"/>
    </row>
    <row r="26" spans="1:81" ht="12" customHeight="1" x14ac:dyDescent="0.3">
      <c r="A26" s="7"/>
      <c r="B26" s="7"/>
      <c r="C26" s="11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8"/>
      <c r="BX26" s="7"/>
      <c r="BY26" s="7"/>
      <c r="BZ26" s="7"/>
      <c r="CA26" s="7"/>
      <c r="CB26" s="7"/>
      <c r="CC26" s="7"/>
    </row>
    <row r="27" spans="1:81" ht="12" customHeight="1" x14ac:dyDescent="0.3">
      <c r="A27" s="7"/>
      <c r="B27" s="7"/>
      <c r="C27" s="11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8"/>
      <c r="BX27" s="7"/>
      <c r="BY27" s="7"/>
      <c r="BZ27" s="7"/>
      <c r="CA27" s="7"/>
      <c r="CB27" s="7"/>
      <c r="CC27" s="7"/>
    </row>
    <row r="28" spans="1:81" ht="12" customHeight="1" x14ac:dyDescent="0.3">
      <c r="A28" s="7"/>
      <c r="B28" s="7"/>
      <c r="C28" s="11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8"/>
      <c r="BX28" s="7"/>
      <c r="BY28" s="7"/>
      <c r="BZ28" s="7"/>
      <c r="CA28" s="7"/>
      <c r="CB28" s="7"/>
      <c r="CC28" s="7"/>
    </row>
    <row r="29" spans="1:81" ht="12" customHeight="1" x14ac:dyDescent="0.3">
      <c r="A29" s="7"/>
      <c r="B29" s="7"/>
      <c r="C29" s="11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8"/>
      <c r="BX29" s="7"/>
      <c r="BY29" s="7"/>
      <c r="BZ29" s="7"/>
      <c r="CA29" s="7"/>
      <c r="CB29" s="7"/>
      <c r="CC29" s="7"/>
    </row>
    <row r="30" spans="1:81" ht="12" customHeight="1" x14ac:dyDescent="0.3">
      <c r="A30" s="7"/>
      <c r="B30" s="7"/>
      <c r="C30" s="1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8"/>
      <c r="BX30" s="7"/>
      <c r="BY30" s="7"/>
      <c r="BZ30" s="7"/>
      <c r="CA30" s="7"/>
      <c r="CB30" s="7"/>
      <c r="CC30" s="7"/>
    </row>
    <row r="31" spans="1:81" ht="12" customHeight="1" x14ac:dyDescent="0.3">
      <c r="A31" s="7"/>
      <c r="B31" s="7"/>
      <c r="C31" s="1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8"/>
      <c r="BX31" s="7"/>
      <c r="BY31" s="7"/>
      <c r="BZ31" s="7"/>
      <c r="CA31" s="7"/>
      <c r="CB31" s="7"/>
      <c r="CC31" s="7"/>
    </row>
    <row r="32" spans="1:81" ht="12" customHeight="1" x14ac:dyDescent="0.3">
      <c r="A32" s="7"/>
      <c r="B32" s="7"/>
      <c r="C32" s="1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8"/>
      <c r="BX32" s="7"/>
      <c r="BY32" s="7"/>
      <c r="BZ32" s="7"/>
      <c r="CA32" s="7"/>
      <c r="CB32" s="7"/>
      <c r="CC32" s="7"/>
    </row>
    <row r="33" spans="1:81" ht="12" customHeight="1" x14ac:dyDescent="0.3">
      <c r="A33" s="7"/>
      <c r="B33" s="7"/>
      <c r="C33" s="1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8"/>
      <c r="BX33" s="7"/>
      <c r="BY33" s="7"/>
      <c r="BZ33" s="7"/>
      <c r="CA33" s="7"/>
      <c r="CB33" s="7"/>
      <c r="CC33" s="7"/>
    </row>
    <row r="34" spans="1:81" ht="12" customHeight="1" x14ac:dyDescent="0.3">
      <c r="A34" s="7"/>
      <c r="B34" s="7"/>
      <c r="C34" s="1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8"/>
      <c r="BX34" s="7"/>
      <c r="BY34" s="7"/>
      <c r="BZ34" s="7"/>
      <c r="CA34" s="7"/>
      <c r="CB34" s="7"/>
      <c r="CC34" s="7"/>
    </row>
    <row r="35" spans="1:81" ht="12" customHeight="1" x14ac:dyDescent="0.3">
      <c r="A35" s="7"/>
      <c r="B35" s="7"/>
      <c r="C35" s="1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8"/>
      <c r="BX35" s="7"/>
      <c r="BY35" s="7"/>
      <c r="BZ35" s="7"/>
      <c r="CA35" s="7"/>
      <c r="CB35" s="7"/>
      <c r="CC35" s="7"/>
    </row>
    <row r="36" spans="1:81" ht="12" customHeight="1" x14ac:dyDescent="0.3">
      <c r="A36" s="7"/>
      <c r="B36" s="7"/>
      <c r="C36" s="1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8"/>
      <c r="BX36" s="7"/>
      <c r="BY36" s="7"/>
      <c r="BZ36" s="7"/>
      <c r="CA36" s="7"/>
      <c r="CB36" s="7"/>
      <c r="CC36" s="7"/>
    </row>
    <row r="37" spans="1:81" ht="12" customHeight="1" x14ac:dyDescent="0.3">
      <c r="A37" s="7"/>
      <c r="B37" s="7"/>
      <c r="C37" s="1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8"/>
      <c r="BX37" s="7"/>
      <c r="BY37" s="7"/>
      <c r="BZ37" s="7"/>
      <c r="CA37" s="7"/>
      <c r="CB37" s="7"/>
      <c r="CC37" s="7"/>
    </row>
    <row r="38" spans="1:81" ht="12" customHeight="1" x14ac:dyDescent="0.3">
      <c r="A38" s="7"/>
      <c r="B38" s="7"/>
      <c r="C38" s="1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8"/>
      <c r="BX38" s="7"/>
      <c r="BY38" s="7"/>
      <c r="BZ38" s="7"/>
      <c r="CA38" s="7"/>
      <c r="CB38" s="7"/>
      <c r="CC38" s="7"/>
    </row>
    <row r="39" spans="1:81" ht="12" customHeight="1" x14ac:dyDescent="0.3">
      <c r="A39" s="7"/>
      <c r="B39" s="7"/>
      <c r="C39" s="1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8"/>
      <c r="BX39" s="7"/>
      <c r="BY39" s="7"/>
      <c r="BZ39" s="7"/>
      <c r="CA39" s="7"/>
      <c r="CB39" s="7"/>
      <c r="CC39" s="7"/>
    </row>
    <row r="40" spans="1:81" ht="12" customHeight="1" x14ac:dyDescent="0.3">
      <c r="A40" s="7"/>
      <c r="B40" s="7"/>
      <c r="C40" s="1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8"/>
      <c r="BX40" s="7"/>
      <c r="BY40" s="7"/>
      <c r="BZ40" s="7"/>
      <c r="CA40" s="7"/>
      <c r="CB40" s="7"/>
      <c r="CC40" s="7"/>
    </row>
    <row r="41" spans="1:81" ht="12" customHeight="1" x14ac:dyDescent="0.3">
      <c r="A41" s="7"/>
      <c r="B41" s="7"/>
      <c r="C41" s="11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8"/>
      <c r="BX41" s="7"/>
      <c r="BY41" s="7"/>
      <c r="BZ41" s="7"/>
      <c r="CA41" s="7"/>
      <c r="CB41" s="7"/>
      <c r="CC41" s="7"/>
    </row>
    <row r="42" spans="1:81" ht="12" customHeight="1" x14ac:dyDescent="0.3">
      <c r="A42" s="7"/>
      <c r="B42" s="7"/>
      <c r="C42" s="11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8"/>
      <c r="BX42" s="7"/>
      <c r="BY42" s="7"/>
      <c r="BZ42" s="7"/>
      <c r="CA42" s="7"/>
      <c r="CB42" s="7"/>
      <c r="CC42" s="7"/>
    </row>
    <row r="43" spans="1:81" ht="12" customHeight="1" x14ac:dyDescent="0.3">
      <c r="A43" s="7"/>
      <c r="B43" s="7"/>
      <c r="C43" s="1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8"/>
      <c r="BX43" s="7"/>
      <c r="BY43" s="7"/>
      <c r="BZ43" s="7"/>
      <c r="CA43" s="7"/>
      <c r="CB43" s="7"/>
      <c r="CC43" s="7"/>
    </row>
    <row r="44" spans="1:81" ht="12" customHeight="1" x14ac:dyDescent="0.3">
      <c r="A44" s="7"/>
      <c r="B44" s="7"/>
      <c r="C44" s="1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8"/>
      <c r="BX44" s="7"/>
      <c r="BY44" s="7"/>
      <c r="BZ44" s="7"/>
      <c r="CA44" s="7"/>
      <c r="CB44" s="7"/>
      <c r="CC44" s="7"/>
    </row>
    <row r="45" spans="1:81" ht="12" customHeight="1" x14ac:dyDescent="0.3">
      <c r="A45" s="7"/>
      <c r="B45" s="7"/>
      <c r="C45" s="1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8"/>
      <c r="BX45" s="7"/>
      <c r="BY45" s="7"/>
      <c r="BZ45" s="7"/>
      <c r="CA45" s="7"/>
      <c r="CB45" s="7"/>
      <c r="CC45" s="7"/>
    </row>
    <row r="46" spans="1:81" ht="12" customHeight="1" x14ac:dyDescent="0.3">
      <c r="A46" s="7"/>
      <c r="B46" s="7"/>
      <c r="C46" s="1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8"/>
      <c r="BX46" s="7"/>
      <c r="BY46" s="7"/>
      <c r="BZ46" s="7"/>
      <c r="CA46" s="7"/>
      <c r="CB46" s="7"/>
      <c r="CC46" s="7"/>
    </row>
    <row r="47" spans="1:81" ht="12" customHeight="1" x14ac:dyDescent="0.3">
      <c r="A47" s="7"/>
      <c r="B47" s="7"/>
      <c r="C47" s="1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8"/>
      <c r="BX47" s="7"/>
      <c r="BY47" s="7"/>
      <c r="BZ47" s="7"/>
      <c r="CA47" s="7"/>
      <c r="CB47" s="7"/>
      <c r="CC47" s="7"/>
    </row>
    <row r="48" spans="1:81" ht="12" customHeight="1" x14ac:dyDescent="0.3">
      <c r="A48" s="7"/>
      <c r="B48" s="7"/>
      <c r="C48" s="1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8"/>
      <c r="BX48" s="7"/>
      <c r="BY48" s="7"/>
      <c r="BZ48" s="7"/>
      <c r="CA48" s="7"/>
      <c r="CB48" s="7"/>
      <c r="CC48" s="7"/>
    </row>
    <row r="49" spans="1:81" ht="12" customHeight="1" x14ac:dyDescent="0.3">
      <c r="A49" s="7"/>
      <c r="B49" s="7"/>
      <c r="C49" s="1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8"/>
      <c r="BX49" s="7"/>
      <c r="BY49" s="7"/>
      <c r="BZ49" s="7"/>
      <c r="CA49" s="7"/>
      <c r="CB49" s="7"/>
      <c r="CC49" s="7"/>
    </row>
    <row r="50" spans="1:81" ht="12" customHeight="1" x14ac:dyDescent="0.3">
      <c r="A50" s="7"/>
      <c r="B50" s="7"/>
      <c r="C50" s="1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8"/>
      <c r="BX50" s="7"/>
      <c r="BY50" s="7"/>
      <c r="BZ50" s="7"/>
      <c r="CA50" s="7"/>
      <c r="CB50" s="7"/>
      <c r="CC50" s="7"/>
    </row>
    <row r="51" spans="1:81" ht="12" customHeight="1" x14ac:dyDescent="0.3">
      <c r="A51" s="7"/>
      <c r="B51" s="7"/>
      <c r="C51" s="1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8"/>
      <c r="BX51" s="7"/>
      <c r="BY51" s="7"/>
      <c r="BZ51" s="7"/>
      <c r="CA51" s="7"/>
      <c r="CB51" s="7"/>
      <c r="CC51" s="7"/>
    </row>
    <row r="52" spans="1:81" ht="12" customHeight="1" x14ac:dyDescent="0.3">
      <c r="A52" s="7"/>
      <c r="B52" s="7"/>
      <c r="C52" s="1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8"/>
      <c r="BX52" s="7"/>
      <c r="BY52" s="7"/>
      <c r="BZ52" s="7"/>
      <c r="CA52" s="7"/>
      <c r="CB52" s="7"/>
      <c r="CC52" s="7"/>
    </row>
    <row r="53" spans="1:81" ht="12" customHeight="1" x14ac:dyDescent="0.3">
      <c r="A53" s="7"/>
      <c r="B53" s="7"/>
      <c r="C53" s="1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8"/>
      <c r="BX53" s="7"/>
      <c r="BY53" s="7"/>
      <c r="BZ53" s="7"/>
      <c r="CA53" s="7"/>
      <c r="CB53" s="7"/>
      <c r="CC53" s="7"/>
    </row>
    <row r="54" spans="1:81" ht="12" customHeight="1" x14ac:dyDescent="0.3">
      <c r="A54" s="7"/>
      <c r="B54" s="7"/>
      <c r="C54" s="1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8"/>
      <c r="BX54" s="7"/>
      <c r="BY54" s="7"/>
      <c r="BZ54" s="7"/>
      <c r="CA54" s="7"/>
      <c r="CB54" s="7"/>
      <c r="CC54" s="7"/>
    </row>
    <row r="55" spans="1:81" ht="12" customHeight="1" x14ac:dyDescent="0.3">
      <c r="A55" s="7"/>
      <c r="B55" s="7"/>
      <c r="C55" s="1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8"/>
      <c r="BX55" s="7"/>
      <c r="BY55" s="7"/>
      <c r="BZ55" s="7"/>
      <c r="CA55" s="7"/>
      <c r="CB55" s="7"/>
      <c r="CC55" s="7"/>
    </row>
    <row r="56" spans="1:81" ht="12" customHeight="1" x14ac:dyDescent="0.3">
      <c r="A56" s="7"/>
      <c r="B56" s="7"/>
      <c r="C56" s="1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8"/>
      <c r="BX56" s="7"/>
      <c r="BY56" s="7"/>
      <c r="BZ56" s="7"/>
      <c r="CA56" s="7"/>
      <c r="CB56" s="7"/>
      <c r="CC56" s="7"/>
    </row>
    <row r="57" spans="1:81" ht="12" customHeight="1" x14ac:dyDescent="0.3">
      <c r="A57" s="7"/>
      <c r="B57" s="7"/>
      <c r="C57" s="1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8"/>
      <c r="BX57" s="7"/>
      <c r="BY57" s="7"/>
      <c r="BZ57" s="7"/>
      <c r="CA57" s="7"/>
      <c r="CB57" s="7"/>
      <c r="CC57" s="7"/>
    </row>
    <row r="58" spans="1:81" ht="12" customHeight="1" x14ac:dyDescent="0.3">
      <c r="A58" s="7"/>
      <c r="B58" s="7"/>
      <c r="C58" s="1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8"/>
      <c r="BX58" s="7"/>
      <c r="BY58" s="7"/>
      <c r="BZ58" s="7"/>
      <c r="CA58" s="7"/>
      <c r="CB58" s="7"/>
      <c r="CC58" s="7"/>
    </row>
    <row r="59" spans="1:81" ht="12" customHeight="1" x14ac:dyDescent="0.3">
      <c r="A59" s="7"/>
      <c r="B59" s="7"/>
      <c r="C59" s="1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8"/>
      <c r="BX59" s="7"/>
      <c r="BY59" s="7"/>
      <c r="BZ59" s="7"/>
      <c r="CA59" s="7"/>
      <c r="CB59" s="7"/>
      <c r="CC59" s="7"/>
    </row>
    <row r="60" spans="1:81" ht="12" customHeight="1" x14ac:dyDescent="0.3">
      <c r="A60" s="7"/>
      <c r="B60" s="7"/>
      <c r="C60" s="1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8"/>
      <c r="BX60" s="7"/>
      <c r="BY60" s="7"/>
      <c r="BZ60" s="7"/>
      <c r="CA60" s="7"/>
      <c r="CB60" s="7"/>
      <c r="CC60" s="7"/>
    </row>
    <row r="61" spans="1:81" ht="12" customHeight="1" x14ac:dyDescent="0.3">
      <c r="A61" s="7"/>
      <c r="B61" s="7"/>
      <c r="C61" s="1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8"/>
      <c r="BX61" s="7"/>
      <c r="BY61" s="7"/>
      <c r="BZ61" s="7"/>
      <c r="CA61" s="7"/>
      <c r="CB61" s="7"/>
      <c r="CC61" s="7"/>
    </row>
    <row r="62" spans="1:81" ht="12" customHeight="1" x14ac:dyDescent="0.3">
      <c r="A62" s="7"/>
      <c r="B62" s="7"/>
      <c r="C62" s="1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8"/>
      <c r="BX62" s="7"/>
      <c r="BY62" s="7"/>
      <c r="BZ62" s="7"/>
      <c r="CA62" s="7"/>
      <c r="CB62" s="7"/>
      <c r="CC62" s="7"/>
    </row>
    <row r="63" spans="1:81" ht="12" customHeight="1" x14ac:dyDescent="0.3">
      <c r="A63" s="7"/>
      <c r="B63" s="7"/>
      <c r="C63" s="1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8"/>
      <c r="BX63" s="7"/>
      <c r="BY63" s="7"/>
      <c r="BZ63" s="7"/>
      <c r="CA63" s="7"/>
      <c r="CB63" s="7"/>
      <c r="CC63" s="7"/>
    </row>
    <row r="64" spans="1:81" ht="12" customHeight="1" x14ac:dyDescent="0.3">
      <c r="A64" s="7"/>
      <c r="B64" s="7"/>
      <c r="C64" s="1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8"/>
      <c r="BX64" s="7"/>
      <c r="BY64" s="7"/>
      <c r="BZ64" s="7"/>
      <c r="CA64" s="7"/>
      <c r="CB64" s="7"/>
      <c r="CC64" s="7"/>
    </row>
    <row r="65" spans="1:81" ht="12" customHeight="1" x14ac:dyDescent="0.3">
      <c r="A65" s="7"/>
      <c r="B65" s="7"/>
      <c r="C65" s="1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8"/>
      <c r="BX65" s="7"/>
      <c r="BY65" s="7"/>
      <c r="BZ65" s="7"/>
      <c r="CA65" s="7"/>
      <c r="CB65" s="7"/>
      <c r="CC65" s="7"/>
    </row>
    <row r="66" spans="1:81" ht="12" customHeight="1" x14ac:dyDescent="0.3">
      <c r="A66" s="7"/>
      <c r="B66" s="7"/>
      <c r="C66" s="1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8"/>
      <c r="BX66" s="7"/>
      <c r="BY66" s="7"/>
      <c r="BZ66" s="7"/>
      <c r="CA66" s="7"/>
      <c r="CB66" s="7"/>
      <c r="CC66" s="7"/>
    </row>
    <row r="67" spans="1:81" ht="12" customHeight="1" x14ac:dyDescent="0.3">
      <c r="A67" s="7"/>
      <c r="B67" s="7"/>
      <c r="C67" s="1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8"/>
      <c r="BX67" s="7"/>
      <c r="BY67" s="7"/>
      <c r="BZ67" s="7"/>
      <c r="CA67" s="7"/>
      <c r="CB67" s="7"/>
      <c r="CC67" s="7"/>
    </row>
    <row r="68" spans="1:81" ht="12" customHeight="1" x14ac:dyDescent="0.3">
      <c r="A68" s="7"/>
      <c r="B68" s="7"/>
      <c r="C68" s="1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8"/>
      <c r="BX68" s="7"/>
      <c r="BY68" s="7"/>
      <c r="BZ68" s="7"/>
      <c r="CA68" s="7"/>
      <c r="CB68" s="7"/>
      <c r="CC68" s="7"/>
    </row>
    <row r="69" spans="1:81" ht="12" customHeight="1" x14ac:dyDescent="0.3">
      <c r="A69" s="7"/>
      <c r="B69" s="7"/>
      <c r="C69" s="1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8"/>
      <c r="BX69" s="7"/>
      <c r="BY69" s="7"/>
      <c r="BZ69" s="7"/>
      <c r="CA69" s="7"/>
      <c r="CB69" s="7"/>
      <c r="CC69" s="7"/>
    </row>
    <row r="70" spans="1:81" ht="12" customHeight="1" x14ac:dyDescent="0.3">
      <c r="A70" s="7"/>
      <c r="B70" s="7"/>
      <c r="C70" s="1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8"/>
      <c r="BX70" s="7"/>
      <c r="BY70" s="7"/>
      <c r="BZ70" s="7"/>
      <c r="CA70" s="7"/>
      <c r="CB70" s="7"/>
      <c r="CC70" s="7"/>
    </row>
    <row r="71" spans="1:81" ht="12" customHeight="1" x14ac:dyDescent="0.3">
      <c r="A71" s="7"/>
      <c r="B71" s="7"/>
      <c r="C71" s="1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8"/>
      <c r="BX71" s="7"/>
      <c r="BY71" s="7"/>
      <c r="BZ71" s="7"/>
      <c r="CA71" s="7"/>
      <c r="CB71" s="7"/>
      <c r="CC71" s="7"/>
    </row>
    <row r="72" spans="1:81" ht="12" customHeight="1" x14ac:dyDescent="0.3">
      <c r="A72" s="7"/>
      <c r="B72" s="7"/>
      <c r="C72" s="1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8"/>
      <c r="BX72" s="7"/>
      <c r="BY72" s="7"/>
      <c r="BZ72" s="7"/>
      <c r="CA72" s="7"/>
      <c r="CB72" s="7"/>
      <c r="CC72" s="7"/>
    </row>
    <row r="73" spans="1:81" ht="12" customHeight="1" x14ac:dyDescent="0.3">
      <c r="A73" s="7"/>
      <c r="B73" s="7"/>
      <c r="C73" s="1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8"/>
      <c r="BX73" s="7"/>
      <c r="BY73" s="7"/>
      <c r="BZ73" s="7"/>
      <c r="CA73" s="7"/>
      <c r="CB73" s="7"/>
      <c r="CC73" s="7"/>
    </row>
    <row r="74" spans="1:81" ht="12" customHeight="1" x14ac:dyDescent="0.3">
      <c r="A74" s="7"/>
      <c r="B74" s="7"/>
      <c r="C74" s="1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8"/>
      <c r="BX74" s="7"/>
      <c r="BY74" s="7"/>
      <c r="BZ74" s="7"/>
      <c r="CA74" s="7"/>
      <c r="CB74" s="7"/>
      <c r="CC74" s="7"/>
    </row>
    <row r="75" spans="1:81" ht="12" customHeight="1" x14ac:dyDescent="0.3">
      <c r="A75" s="7"/>
      <c r="B75" s="7"/>
      <c r="C75" s="1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8"/>
      <c r="BX75" s="7"/>
      <c r="BY75" s="7"/>
      <c r="BZ75" s="7"/>
      <c r="CA75" s="7"/>
      <c r="CB75" s="7"/>
      <c r="CC75" s="7"/>
    </row>
    <row r="76" spans="1:81" ht="12" customHeight="1" x14ac:dyDescent="0.3">
      <c r="A76" s="7"/>
      <c r="B76" s="7"/>
      <c r="C76" s="1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8"/>
      <c r="BX76" s="7"/>
      <c r="BY76" s="7"/>
      <c r="BZ76" s="7"/>
      <c r="CA76" s="7"/>
      <c r="CB76" s="7"/>
      <c r="CC76" s="7"/>
    </row>
    <row r="77" spans="1:81" ht="12" customHeight="1" x14ac:dyDescent="0.3">
      <c r="A77" s="7"/>
      <c r="B77" s="7"/>
      <c r="C77" s="1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8"/>
      <c r="BX77" s="7"/>
      <c r="BY77" s="7"/>
      <c r="BZ77" s="7"/>
      <c r="CA77" s="7"/>
      <c r="CB77" s="7"/>
      <c r="CC77" s="7"/>
    </row>
    <row r="78" spans="1:81" ht="12" customHeight="1" x14ac:dyDescent="0.3">
      <c r="A78" s="7"/>
      <c r="B78" s="7"/>
      <c r="C78" s="1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8"/>
      <c r="BX78" s="7"/>
      <c r="BY78" s="7"/>
      <c r="BZ78" s="7"/>
      <c r="CA78" s="7"/>
      <c r="CB78" s="7"/>
      <c r="CC78" s="7"/>
    </row>
    <row r="79" spans="1:81" ht="12" customHeight="1" x14ac:dyDescent="0.3">
      <c r="A79" s="7"/>
      <c r="B79" s="7"/>
      <c r="C79" s="11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8"/>
      <c r="BX79" s="7"/>
      <c r="BY79" s="7"/>
      <c r="BZ79" s="7"/>
      <c r="CA79" s="7"/>
      <c r="CB79" s="7"/>
      <c r="CC79" s="7"/>
    </row>
    <row r="80" spans="1:81" ht="12" customHeight="1" x14ac:dyDescent="0.3">
      <c r="A80" s="7"/>
      <c r="B80" s="7"/>
      <c r="C80" s="11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8"/>
      <c r="BX80" s="7"/>
      <c r="BY80" s="7"/>
      <c r="BZ80" s="7"/>
      <c r="CA80" s="7"/>
      <c r="CB80" s="7"/>
      <c r="CC80" s="7"/>
    </row>
    <row r="81" spans="1:81" ht="12" customHeight="1" x14ac:dyDescent="0.3">
      <c r="A81" s="7"/>
      <c r="B81" s="7"/>
      <c r="C81" s="1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8"/>
      <c r="BX81" s="7"/>
      <c r="BY81" s="7"/>
      <c r="BZ81" s="7"/>
      <c r="CA81" s="7"/>
      <c r="CB81" s="7"/>
      <c r="CC81" s="7"/>
    </row>
    <row r="82" spans="1:81" ht="12" customHeight="1" x14ac:dyDescent="0.3">
      <c r="A82" s="7"/>
      <c r="B82" s="7"/>
      <c r="C82" s="11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8"/>
      <c r="BX82" s="7"/>
      <c r="BY82" s="7"/>
      <c r="BZ82" s="7"/>
      <c r="CA82" s="7"/>
      <c r="CB82" s="7"/>
      <c r="CC82" s="7"/>
    </row>
    <row r="83" spans="1:81" ht="12" customHeight="1" x14ac:dyDescent="0.3">
      <c r="A83" s="7"/>
      <c r="B83" s="7"/>
      <c r="C83" s="11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8"/>
      <c r="BX83" s="7"/>
      <c r="BY83" s="7"/>
      <c r="BZ83" s="7"/>
      <c r="CA83" s="7"/>
      <c r="CB83" s="7"/>
      <c r="CC83" s="7"/>
    </row>
    <row r="84" spans="1:81" ht="12" customHeight="1" x14ac:dyDescent="0.3">
      <c r="A84" s="7"/>
      <c r="B84" s="7"/>
      <c r="C84" s="1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8"/>
      <c r="BX84" s="7"/>
      <c r="BY84" s="7"/>
      <c r="BZ84" s="7"/>
      <c r="CA84" s="7"/>
      <c r="CB84" s="7"/>
      <c r="CC84" s="7"/>
    </row>
    <row r="85" spans="1:81" ht="12" customHeight="1" x14ac:dyDescent="0.3">
      <c r="A85" s="7"/>
      <c r="B85" s="7"/>
      <c r="C85" s="1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8"/>
      <c r="BX85" s="7"/>
      <c r="BY85" s="7"/>
      <c r="BZ85" s="7"/>
      <c r="CA85" s="7"/>
      <c r="CB85" s="7"/>
      <c r="CC85" s="7"/>
    </row>
    <row r="86" spans="1:81" ht="12" customHeight="1" x14ac:dyDescent="0.3">
      <c r="A86" s="7"/>
      <c r="B86" s="7"/>
      <c r="C86" s="1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8"/>
      <c r="BX86" s="7"/>
      <c r="BY86" s="7"/>
      <c r="BZ86" s="7"/>
      <c r="CA86" s="7"/>
      <c r="CB86" s="7"/>
      <c r="CC86" s="7"/>
    </row>
    <row r="87" spans="1:81" ht="12" customHeight="1" x14ac:dyDescent="0.3">
      <c r="A87" s="7"/>
      <c r="B87" s="7"/>
      <c r="C87" s="1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8"/>
      <c r="BX87" s="7"/>
      <c r="BY87" s="7"/>
      <c r="BZ87" s="7"/>
      <c r="CA87" s="7"/>
      <c r="CB87" s="7"/>
      <c r="CC87" s="7"/>
    </row>
    <row r="88" spans="1:81" ht="12" customHeight="1" x14ac:dyDescent="0.3">
      <c r="A88" s="7"/>
      <c r="B88" s="7"/>
      <c r="C88" s="11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8"/>
      <c r="BX88" s="7"/>
      <c r="BY88" s="7"/>
      <c r="BZ88" s="7"/>
      <c r="CA88" s="7"/>
      <c r="CB88" s="7"/>
      <c r="CC88" s="7"/>
    </row>
    <row r="89" spans="1:81" ht="12" customHeight="1" x14ac:dyDescent="0.3">
      <c r="A89" s="7"/>
      <c r="B89" s="7"/>
      <c r="C89" s="11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8"/>
      <c r="BX89" s="7"/>
      <c r="BY89" s="7"/>
      <c r="BZ89" s="7"/>
      <c r="CA89" s="7"/>
      <c r="CB89" s="7"/>
      <c r="CC89" s="7"/>
    </row>
    <row r="90" spans="1:81" ht="12" customHeight="1" x14ac:dyDescent="0.3">
      <c r="A90" s="7"/>
      <c r="B90" s="7"/>
      <c r="C90" s="11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8"/>
      <c r="BX90" s="7"/>
      <c r="BY90" s="7"/>
      <c r="BZ90" s="7"/>
      <c r="CA90" s="7"/>
      <c r="CB90" s="7"/>
      <c r="CC90" s="7"/>
    </row>
    <row r="91" spans="1:81" ht="12" customHeight="1" x14ac:dyDescent="0.3">
      <c r="A91" s="7"/>
      <c r="B91" s="7"/>
      <c r="C91" s="11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8"/>
      <c r="BX91" s="7"/>
      <c r="BY91" s="7"/>
      <c r="BZ91" s="7"/>
      <c r="CA91" s="7"/>
      <c r="CB91" s="7"/>
      <c r="CC91" s="7"/>
    </row>
    <row r="92" spans="1:81" ht="12" customHeight="1" x14ac:dyDescent="0.3">
      <c r="A92" s="7"/>
      <c r="B92" s="7"/>
      <c r="C92" s="11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8"/>
      <c r="BX92" s="7"/>
      <c r="BY92" s="7"/>
      <c r="BZ92" s="7"/>
      <c r="CA92" s="7"/>
      <c r="CB92" s="7"/>
      <c r="CC92" s="7"/>
    </row>
    <row r="93" spans="1:81" ht="12" customHeight="1" x14ac:dyDescent="0.3">
      <c r="A93" s="7"/>
      <c r="B93" s="7"/>
      <c r="C93" s="11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8"/>
      <c r="BX93" s="7"/>
      <c r="BY93" s="7"/>
      <c r="BZ93" s="7"/>
      <c r="CA93" s="7"/>
      <c r="CB93" s="7"/>
      <c r="CC93" s="7"/>
    </row>
    <row r="94" spans="1:81" ht="12" customHeight="1" x14ac:dyDescent="0.3">
      <c r="A94" s="7"/>
      <c r="B94" s="7"/>
      <c r="C94" s="11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8"/>
      <c r="BX94" s="7"/>
      <c r="BY94" s="7"/>
      <c r="BZ94" s="7"/>
      <c r="CA94" s="7"/>
      <c r="CB94" s="7"/>
      <c r="CC94" s="7"/>
    </row>
    <row r="95" spans="1:81" ht="12" customHeight="1" x14ac:dyDescent="0.3">
      <c r="A95" s="7"/>
      <c r="B95" s="7"/>
      <c r="C95" s="11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8"/>
      <c r="BX95" s="7"/>
      <c r="BY95" s="7"/>
      <c r="BZ95" s="7"/>
      <c r="CA95" s="7"/>
      <c r="CB95" s="7"/>
      <c r="CC95" s="7"/>
    </row>
    <row r="96" spans="1:81" ht="12" customHeight="1" x14ac:dyDescent="0.3">
      <c r="A96" s="7"/>
      <c r="B96" s="7"/>
      <c r="C96" s="11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8"/>
      <c r="BX96" s="7"/>
      <c r="BY96" s="7"/>
      <c r="BZ96" s="7"/>
      <c r="CA96" s="7"/>
      <c r="CB96" s="7"/>
      <c r="CC96" s="7"/>
    </row>
    <row r="97" spans="1:81" ht="12" customHeight="1" x14ac:dyDescent="0.3">
      <c r="A97" s="7"/>
      <c r="B97" s="7"/>
      <c r="C97" s="11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8"/>
      <c r="BX97" s="7"/>
      <c r="BY97" s="7"/>
      <c r="BZ97" s="7"/>
      <c r="CA97" s="7"/>
      <c r="CB97" s="7"/>
      <c r="CC97" s="7"/>
    </row>
    <row r="98" spans="1:81" ht="12" customHeight="1" x14ac:dyDescent="0.3">
      <c r="A98" s="7"/>
      <c r="B98" s="7"/>
      <c r="C98" s="11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8"/>
      <c r="BX98" s="7"/>
      <c r="BY98" s="7"/>
      <c r="BZ98" s="7"/>
      <c r="CA98" s="7"/>
      <c r="CB98" s="7"/>
      <c r="CC98" s="7"/>
    </row>
    <row r="99" spans="1:81" ht="12" customHeight="1" x14ac:dyDescent="0.3">
      <c r="A99" s="7"/>
      <c r="B99" s="7"/>
      <c r="C99" s="11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8"/>
      <c r="BX99" s="7"/>
      <c r="BY99" s="7"/>
      <c r="BZ99" s="7"/>
      <c r="CA99" s="7"/>
      <c r="CB99" s="7"/>
      <c r="CC99" s="7"/>
    </row>
    <row r="100" spans="1:81" ht="12" customHeight="1" x14ac:dyDescent="0.3">
      <c r="A100" s="7"/>
      <c r="B100" s="7"/>
      <c r="C100" s="11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8"/>
      <c r="BX100" s="7"/>
      <c r="BY100" s="7"/>
      <c r="BZ100" s="7"/>
      <c r="CA100" s="7"/>
      <c r="CB100" s="7"/>
      <c r="CC100" s="7"/>
    </row>
    <row r="101" spans="1:81" ht="12" customHeight="1" x14ac:dyDescent="0.3">
      <c r="A101" s="7"/>
      <c r="B101" s="7"/>
      <c r="C101" s="11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8"/>
      <c r="BX101" s="7"/>
      <c r="BY101" s="7"/>
      <c r="BZ101" s="7"/>
      <c r="CA101" s="7"/>
      <c r="CB101" s="7"/>
      <c r="CC101" s="7"/>
    </row>
    <row r="102" spans="1:81" ht="12" customHeight="1" x14ac:dyDescent="0.3">
      <c r="A102" s="7"/>
      <c r="B102" s="7"/>
      <c r="C102" s="1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8"/>
      <c r="BX102" s="7"/>
      <c r="BY102" s="7"/>
      <c r="BZ102" s="7"/>
      <c r="CA102" s="7"/>
      <c r="CB102" s="7"/>
      <c r="CC102" s="7"/>
    </row>
    <row r="103" spans="1:81" ht="12" customHeight="1" x14ac:dyDescent="0.3">
      <c r="A103" s="7"/>
      <c r="B103" s="7"/>
      <c r="C103" s="11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8"/>
      <c r="BX103" s="7"/>
      <c r="BY103" s="7"/>
      <c r="BZ103" s="7"/>
      <c r="CA103" s="7"/>
      <c r="CB103" s="7"/>
      <c r="CC103" s="7"/>
    </row>
    <row r="104" spans="1:81" ht="12" customHeight="1" x14ac:dyDescent="0.3">
      <c r="A104" s="7"/>
      <c r="B104" s="7"/>
      <c r="C104" s="11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8"/>
      <c r="BX104" s="7"/>
      <c r="BY104" s="7"/>
      <c r="BZ104" s="7"/>
      <c r="CA104" s="7"/>
      <c r="CB104" s="7"/>
      <c r="CC104" s="7"/>
    </row>
    <row r="105" spans="1:81" ht="12" customHeight="1" x14ac:dyDescent="0.3">
      <c r="A105" s="7"/>
      <c r="B105" s="7"/>
      <c r="C105" s="11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8"/>
      <c r="BX105" s="7"/>
      <c r="BY105" s="7"/>
      <c r="BZ105" s="7"/>
      <c r="CA105" s="7"/>
      <c r="CB105" s="7"/>
      <c r="CC105" s="7"/>
    </row>
    <row r="106" spans="1:81" ht="12" customHeight="1" x14ac:dyDescent="0.3">
      <c r="A106" s="7"/>
      <c r="B106" s="7"/>
      <c r="C106" s="11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8"/>
      <c r="BX106" s="7"/>
      <c r="BY106" s="7"/>
      <c r="BZ106" s="7"/>
      <c r="CA106" s="7"/>
      <c r="CB106" s="7"/>
      <c r="CC106" s="7"/>
    </row>
    <row r="107" spans="1:81" ht="12" customHeight="1" x14ac:dyDescent="0.3">
      <c r="A107" s="7"/>
      <c r="B107" s="7"/>
      <c r="C107" s="11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8"/>
      <c r="BX107" s="7"/>
      <c r="BY107" s="7"/>
      <c r="BZ107" s="7"/>
      <c r="CA107" s="7"/>
      <c r="CB107" s="7"/>
      <c r="CC107" s="7"/>
    </row>
    <row r="108" spans="1:81" ht="12" customHeight="1" x14ac:dyDescent="0.3">
      <c r="A108" s="7"/>
      <c r="B108" s="7"/>
      <c r="C108" s="11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8"/>
      <c r="BX108" s="7"/>
      <c r="BY108" s="7"/>
      <c r="BZ108" s="7"/>
      <c r="CA108" s="7"/>
      <c r="CB108" s="7"/>
      <c r="CC108" s="7"/>
    </row>
    <row r="109" spans="1:81" ht="12" customHeight="1" x14ac:dyDescent="0.3">
      <c r="A109" s="7"/>
      <c r="B109" s="7"/>
      <c r="C109" s="11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8"/>
      <c r="BX109" s="7"/>
      <c r="BY109" s="7"/>
      <c r="BZ109" s="7"/>
      <c r="CA109" s="7"/>
      <c r="CB109" s="7"/>
      <c r="CC109" s="7"/>
    </row>
    <row r="110" spans="1:81" ht="12" customHeight="1" x14ac:dyDescent="0.3">
      <c r="A110" s="7"/>
      <c r="B110" s="7"/>
      <c r="C110" s="11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8"/>
      <c r="BX110" s="7"/>
      <c r="BY110" s="7"/>
      <c r="BZ110" s="7"/>
      <c r="CA110" s="7"/>
      <c r="CB110" s="7"/>
      <c r="CC110" s="7"/>
    </row>
    <row r="111" spans="1:81" ht="12" customHeight="1" x14ac:dyDescent="0.3">
      <c r="A111" s="7"/>
      <c r="B111" s="7"/>
      <c r="C111" s="11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8"/>
      <c r="BX111" s="7"/>
      <c r="BY111" s="7"/>
      <c r="BZ111" s="7"/>
      <c r="CA111" s="7"/>
      <c r="CB111" s="7"/>
      <c r="CC111" s="7"/>
    </row>
    <row r="112" spans="1:81" ht="12" customHeight="1" x14ac:dyDescent="0.3">
      <c r="A112" s="7"/>
      <c r="B112" s="7"/>
      <c r="C112" s="11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8"/>
      <c r="BX112" s="7"/>
      <c r="BY112" s="7"/>
      <c r="BZ112" s="7"/>
      <c r="CA112" s="7"/>
      <c r="CB112" s="7"/>
      <c r="CC112" s="7"/>
    </row>
    <row r="113" spans="1:81" ht="12" customHeight="1" x14ac:dyDescent="0.3">
      <c r="A113" s="7"/>
      <c r="B113" s="7"/>
      <c r="C113" s="1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8"/>
      <c r="BX113" s="7"/>
      <c r="BY113" s="7"/>
      <c r="BZ113" s="7"/>
      <c r="CA113" s="7"/>
      <c r="CB113" s="7"/>
      <c r="CC113" s="7"/>
    </row>
    <row r="114" spans="1:81" ht="12" customHeight="1" x14ac:dyDescent="0.3">
      <c r="A114" s="7"/>
      <c r="B114" s="7"/>
      <c r="C114" s="1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8"/>
      <c r="BX114" s="7"/>
      <c r="BY114" s="7"/>
      <c r="BZ114" s="7"/>
      <c r="CA114" s="7"/>
      <c r="CB114" s="7"/>
      <c r="CC114" s="7"/>
    </row>
    <row r="115" spans="1:81" ht="12" customHeight="1" x14ac:dyDescent="0.3">
      <c r="A115" s="7"/>
      <c r="B115" s="7"/>
      <c r="C115" s="11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8"/>
      <c r="BX115" s="7"/>
      <c r="BY115" s="7"/>
      <c r="BZ115" s="7"/>
      <c r="CA115" s="7"/>
      <c r="CB115" s="7"/>
      <c r="CC115" s="7"/>
    </row>
    <row r="116" spans="1:81" ht="12" customHeight="1" x14ac:dyDescent="0.3">
      <c r="A116" s="7"/>
      <c r="B116" s="7"/>
      <c r="C116" s="11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8"/>
      <c r="BX116" s="7"/>
      <c r="BY116" s="7"/>
      <c r="BZ116" s="7"/>
      <c r="CA116" s="7"/>
      <c r="CB116" s="7"/>
      <c r="CC116" s="7"/>
    </row>
    <row r="117" spans="1:81" ht="12" customHeight="1" x14ac:dyDescent="0.3">
      <c r="A117" s="7"/>
      <c r="B117" s="7"/>
      <c r="C117" s="11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8"/>
      <c r="BX117" s="7"/>
      <c r="BY117" s="7"/>
      <c r="BZ117" s="7"/>
      <c r="CA117" s="7"/>
      <c r="CB117" s="7"/>
      <c r="CC117" s="7"/>
    </row>
    <row r="118" spans="1:81" ht="12" customHeight="1" x14ac:dyDescent="0.3">
      <c r="A118" s="7"/>
      <c r="B118" s="7"/>
      <c r="C118" s="11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8"/>
      <c r="BX118" s="7"/>
      <c r="BY118" s="7"/>
      <c r="BZ118" s="7"/>
      <c r="CA118" s="7"/>
      <c r="CB118" s="7"/>
      <c r="CC118" s="7"/>
    </row>
    <row r="119" spans="1:81" ht="12" customHeight="1" x14ac:dyDescent="0.3">
      <c r="A119" s="7"/>
      <c r="B119" s="7"/>
      <c r="C119" s="1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8"/>
      <c r="BX119" s="7"/>
      <c r="BY119" s="7"/>
      <c r="BZ119" s="7"/>
      <c r="CA119" s="7"/>
      <c r="CB119" s="7"/>
      <c r="CC119" s="7"/>
    </row>
    <row r="120" spans="1:81" ht="12" customHeight="1" x14ac:dyDescent="0.3">
      <c r="A120" s="7"/>
      <c r="B120" s="7"/>
      <c r="C120" s="11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8"/>
      <c r="BX120" s="7"/>
      <c r="BY120" s="7"/>
      <c r="BZ120" s="7"/>
      <c r="CA120" s="7"/>
      <c r="CB120" s="7"/>
      <c r="CC120" s="7"/>
    </row>
    <row r="121" spans="1:81" ht="12" customHeight="1" x14ac:dyDescent="0.3">
      <c r="A121" s="7"/>
      <c r="B121" s="7"/>
      <c r="C121" s="11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8"/>
      <c r="BX121" s="7"/>
      <c r="BY121" s="7"/>
      <c r="BZ121" s="7"/>
      <c r="CA121" s="7"/>
      <c r="CB121" s="7"/>
      <c r="CC121" s="7"/>
    </row>
    <row r="122" spans="1:81" ht="12" customHeight="1" x14ac:dyDescent="0.3">
      <c r="A122" s="7"/>
      <c r="B122" s="7"/>
      <c r="C122" s="11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8"/>
      <c r="BX122" s="7"/>
      <c r="BY122" s="7"/>
      <c r="BZ122" s="7"/>
      <c r="CA122" s="7"/>
      <c r="CB122" s="7"/>
      <c r="CC122" s="7"/>
    </row>
    <row r="123" spans="1:81" ht="12" customHeight="1" x14ac:dyDescent="0.3">
      <c r="A123" s="7"/>
      <c r="B123" s="7"/>
      <c r="C123" s="11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8"/>
      <c r="BX123" s="7"/>
      <c r="BY123" s="7"/>
      <c r="BZ123" s="7"/>
      <c r="CA123" s="7"/>
      <c r="CB123" s="7"/>
      <c r="CC123" s="7"/>
    </row>
    <row r="124" spans="1:81" ht="12" customHeight="1" x14ac:dyDescent="0.3">
      <c r="A124" s="7"/>
      <c r="B124" s="7"/>
      <c r="C124" s="11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8"/>
      <c r="BX124" s="7"/>
      <c r="BY124" s="7"/>
      <c r="BZ124" s="7"/>
      <c r="CA124" s="7"/>
      <c r="CB124" s="7"/>
      <c r="CC124" s="7"/>
    </row>
    <row r="125" spans="1:81" ht="12" customHeight="1" x14ac:dyDescent="0.3">
      <c r="A125" s="7"/>
      <c r="B125" s="7"/>
      <c r="C125" s="1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8"/>
      <c r="BX125" s="7"/>
      <c r="BY125" s="7"/>
      <c r="BZ125" s="7"/>
      <c r="CA125" s="7"/>
      <c r="CB125" s="7"/>
      <c r="CC125" s="7"/>
    </row>
    <row r="126" spans="1:81" ht="12" customHeight="1" x14ac:dyDescent="0.3">
      <c r="A126" s="7"/>
      <c r="B126" s="7"/>
      <c r="C126" s="11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8"/>
      <c r="BX126" s="7"/>
      <c r="BY126" s="7"/>
      <c r="BZ126" s="7"/>
      <c r="CA126" s="7"/>
      <c r="CB126" s="7"/>
      <c r="CC126" s="7"/>
    </row>
    <row r="127" spans="1:81" ht="12" customHeight="1" x14ac:dyDescent="0.3">
      <c r="A127" s="7"/>
      <c r="B127" s="7"/>
      <c r="C127" s="11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8"/>
      <c r="BX127" s="7"/>
      <c r="BY127" s="7"/>
      <c r="BZ127" s="7"/>
      <c r="CA127" s="7"/>
      <c r="CB127" s="7"/>
      <c r="CC127" s="7"/>
    </row>
    <row r="128" spans="1:81" ht="12" customHeight="1" x14ac:dyDescent="0.3">
      <c r="A128" s="7"/>
      <c r="B128" s="7"/>
      <c r="C128" s="11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8"/>
      <c r="BX128" s="7"/>
      <c r="BY128" s="7"/>
      <c r="BZ128" s="7"/>
      <c r="CA128" s="7"/>
      <c r="CB128" s="7"/>
      <c r="CC128" s="7"/>
    </row>
    <row r="129" spans="1:81" ht="12" customHeight="1" x14ac:dyDescent="0.3">
      <c r="A129" s="7"/>
      <c r="B129" s="7"/>
      <c r="C129" s="11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8"/>
      <c r="BX129" s="7"/>
      <c r="BY129" s="7"/>
      <c r="BZ129" s="7"/>
      <c r="CA129" s="7"/>
      <c r="CB129" s="7"/>
      <c r="CC129" s="7"/>
    </row>
    <row r="130" spans="1:81" ht="12" customHeight="1" x14ac:dyDescent="0.3">
      <c r="A130" s="7"/>
      <c r="B130" s="7"/>
      <c r="C130" s="1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8"/>
      <c r="BX130" s="7"/>
      <c r="BY130" s="7"/>
      <c r="BZ130" s="7"/>
      <c r="CA130" s="7"/>
      <c r="CB130" s="7"/>
      <c r="CC130" s="7"/>
    </row>
    <row r="131" spans="1:81" ht="12" customHeight="1" x14ac:dyDescent="0.3">
      <c r="A131" s="7"/>
      <c r="B131" s="7"/>
      <c r="C131" s="11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8"/>
      <c r="BX131" s="7"/>
      <c r="BY131" s="7"/>
      <c r="BZ131" s="7"/>
      <c r="CA131" s="7"/>
      <c r="CB131" s="7"/>
      <c r="CC131" s="7"/>
    </row>
    <row r="132" spans="1:81" ht="12" customHeight="1" x14ac:dyDescent="0.3">
      <c r="A132" s="7"/>
      <c r="B132" s="7"/>
      <c r="C132" s="11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8"/>
      <c r="BX132" s="7"/>
      <c r="BY132" s="7"/>
      <c r="BZ132" s="7"/>
      <c r="CA132" s="7"/>
      <c r="CB132" s="7"/>
      <c r="CC132" s="7"/>
    </row>
    <row r="133" spans="1:81" ht="12" customHeight="1" x14ac:dyDescent="0.3">
      <c r="A133" s="7"/>
      <c r="B133" s="7"/>
      <c r="C133" s="11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8"/>
      <c r="BX133" s="7"/>
      <c r="BY133" s="7"/>
      <c r="BZ133" s="7"/>
      <c r="CA133" s="7"/>
      <c r="CB133" s="7"/>
      <c r="CC133" s="7"/>
    </row>
    <row r="134" spans="1:81" ht="12" customHeight="1" x14ac:dyDescent="0.3">
      <c r="A134" s="7"/>
      <c r="B134" s="7"/>
      <c r="C134" s="1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8"/>
      <c r="BX134" s="7"/>
      <c r="BY134" s="7"/>
      <c r="BZ134" s="7"/>
      <c r="CA134" s="7"/>
      <c r="CB134" s="7"/>
      <c r="CC134" s="7"/>
    </row>
    <row r="135" spans="1:81" ht="12" customHeight="1" x14ac:dyDescent="0.3">
      <c r="A135" s="7"/>
      <c r="B135" s="7"/>
      <c r="C135" s="1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8"/>
      <c r="BX135" s="7"/>
      <c r="BY135" s="7"/>
      <c r="BZ135" s="7"/>
      <c r="CA135" s="7"/>
      <c r="CB135" s="7"/>
      <c r="CC135" s="7"/>
    </row>
    <row r="136" spans="1:81" ht="12" customHeight="1" x14ac:dyDescent="0.3">
      <c r="A136" s="7"/>
      <c r="B136" s="7"/>
      <c r="C136" s="1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8"/>
      <c r="BX136" s="7"/>
      <c r="BY136" s="7"/>
      <c r="BZ136" s="7"/>
      <c r="CA136" s="7"/>
      <c r="CB136" s="7"/>
      <c r="CC136" s="7"/>
    </row>
    <row r="137" spans="1:81" ht="12" customHeight="1" x14ac:dyDescent="0.3">
      <c r="A137" s="7"/>
      <c r="B137" s="7"/>
      <c r="C137" s="1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8"/>
      <c r="BX137" s="7"/>
      <c r="BY137" s="7"/>
      <c r="BZ137" s="7"/>
      <c r="CA137" s="7"/>
      <c r="CB137" s="7"/>
      <c r="CC137" s="7"/>
    </row>
    <row r="138" spans="1:81" ht="12" customHeight="1" x14ac:dyDescent="0.3">
      <c r="A138" s="7"/>
      <c r="B138" s="7"/>
      <c r="C138" s="1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8"/>
      <c r="BX138" s="7"/>
      <c r="BY138" s="7"/>
      <c r="BZ138" s="7"/>
      <c r="CA138" s="7"/>
      <c r="CB138" s="7"/>
      <c r="CC138" s="7"/>
    </row>
    <row r="139" spans="1:81" ht="12" customHeight="1" x14ac:dyDescent="0.3">
      <c r="A139" s="7"/>
      <c r="B139" s="7"/>
      <c r="C139" s="1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8"/>
      <c r="BX139" s="7"/>
      <c r="BY139" s="7"/>
      <c r="BZ139" s="7"/>
      <c r="CA139" s="7"/>
      <c r="CB139" s="7"/>
      <c r="CC139" s="7"/>
    </row>
    <row r="140" spans="1:81" ht="12" customHeight="1" x14ac:dyDescent="0.3">
      <c r="A140" s="7"/>
      <c r="B140" s="7"/>
      <c r="C140" s="1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8"/>
      <c r="BX140" s="7"/>
      <c r="BY140" s="7"/>
      <c r="BZ140" s="7"/>
      <c r="CA140" s="7"/>
      <c r="CB140" s="7"/>
      <c r="CC140" s="7"/>
    </row>
    <row r="141" spans="1:81" ht="12" customHeight="1" x14ac:dyDescent="0.3">
      <c r="A141" s="7"/>
      <c r="B141" s="7"/>
      <c r="C141" s="1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8"/>
      <c r="BX141" s="7"/>
      <c r="BY141" s="7"/>
      <c r="BZ141" s="7"/>
      <c r="CA141" s="7"/>
      <c r="CB141" s="7"/>
      <c r="CC141" s="7"/>
    </row>
    <row r="142" spans="1:81" ht="12" customHeight="1" x14ac:dyDescent="0.3">
      <c r="A142" s="7"/>
      <c r="B142" s="7"/>
      <c r="C142" s="1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8"/>
      <c r="BX142" s="7"/>
      <c r="BY142" s="7"/>
      <c r="BZ142" s="7"/>
      <c r="CA142" s="7"/>
      <c r="CB142" s="7"/>
      <c r="CC142" s="7"/>
    </row>
    <row r="143" spans="1:81" ht="12" customHeight="1" x14ac:dyDescent="0.3">
      <c r="A143" s="7"/>
      <c r="B143" s="7"/>
      <c r="C143" s="1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8"/>
      <c r="BX143" s="7"/>
      <c r="BY143" s="7"/>
      <c r="BZ143" s="7"/>
      <c r="CA143" s="7"/>
      <c r="CB143" s="7"/>
      <c r="CC143" s="7"/>
    </row>
    <row r="144" spans="1:81" ht="12" customHeight="1" x14ac:dyDescent="0.3">
      <c r="A144" s="7"/>
      <c r="B144" s="7"/>
      <c r="C144" s="1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8"/>
      <c r="BX144" s="7"/>
      <c r="BY144" s="7"/>
      <c r="BZ144" s="7"/>
      <c r="CA144" s="7"/>
      <c r="CB144" s="7"/>
      <c r="CC144" s="7"/>
    </row>
    <row r="145" spans="1:81" ht="12" customHeight="1" x14ac:dyDescent="0.3">
      <c r="A145" s="7"/>
      <c r="B145" s="7"/>
      <c r="C145" s="1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8"/>
      <c r="BX145" s="7"/>
      <c r="BY145" s="7"/>
      <c r="BZ145" s="7"/>
      <c r="CA145" s="7"/>
      <c r="CB145" s="7"/>
      <c r="CC145" s="7"/>
    </row>
    <row r="146" spans="1:81" ht="12" customHeight="1" x14ac:dyDescent="0.3">
      <c r="A146" s="7"/>
      <c r="B146" s="7"/>
      <c r="C146" s="1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8"/>
      <c r="BX146" s="7"/>
      <c r="BY146" s="7"/>
      <c r="BZ146" s="7"/>
      <c r="CA146" s="7"/>
      <c r="CB146" s="7"/>
      <c r="CC146" s="7"/>
    </row>
    <row r="147" spans="1:81" ht="12" customHeight="1" x14ac:dyDescent="0.3">
      <c r="A147" s="7"/>
      <c r="B147" s="7"/>
      <c r="C147" s="1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8"/>
      <c r="BX147" s="7"/>
      <c r="BY147" s="7"/>
      <c r="BZ147" s="7"/>
      <c r="CA147" s="7"/>
      <c r="CB147" s="7"/>
      <c r="CC147" s="7"/>
    </row>
    <row r="148" spans="1:81" ht="12" customHeight="1" x14ac:dyDescent="0.3">
      <c r="A148" s="7"/>
      <c r="B148" s="7"/>
      <c r="C148" s="1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8"/>
      <c r="BX148" s="7"/>
      <c r="BY148" s="7"/>
      <c r="BZ148" s="7"/>
      <c r="CA148" s="7"/>
      <c r="CB148" s="7"/>
      <c r="CC148" s="7"/>
    </row>
    <row r="149" spans="1:81" ht="12" customHeight="1" x14ac:dyDescent="0.3">
      <c r="A149" s="7"/>
      <c r="B149" s="7"/>
      <c r="C149" s="1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8"/>
      <c r="BX149" s="7"/>
      <c r="BY149" s="7"/>
      <c r="BZ149" s="7"/>
      <c r="CA149" s="7"/>
      <c r="CB149" s="7"/>
      <c r="CC149" s="7"/>
    </row>
    <row r="150" spans="1:81" ht="12" customHeight="1" x14ac:dyDescent="0.3">
      <c r="A150" s="7"/>
      <c r="B150" s="7"/>
      <c r="C150" s="1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8"/>
      <c r="BX150" s="7"/>
      <c r="BY150" s="7"/>
      <c r="BZ150" s="7"/>
      <c r="CA150" s="7"/>
      <c r="CB150" s="7"/>
      <c r="CC150" s="7"/>
    </row>
    <row r="151" spans="1:81" ht="12" customHeight="1" x14ac:dyDescent="0.3">
      <c r="A151" s="7"/>
      <c r="B151" s="7"/>
      <c r="C151" s="1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8"/>
      <c r="BX151" s="7"/>
      <c r="BY151" s="7"/>
      <c r="BZ151" s="7"/>
      <c r="CA151" s="7"/>
      <c r="CB151" s="7"/>
      <c r="CC151" s="7"/>
    </row>
    <row r="152" spans="1:81" ht="12" customHeight="1" x14ac:dyDescent="0.3">
      <c r="A152" s="7"/>
      <c r="B152" s="7"/>
      <c r="C152" s="1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8"/>
      <c r="BX152" s="7"/>
      <c r="BY152" s="7"/>
      <c r="BZ152" s="7"/>
      <c r="CA152" s="7"/>
      <c r="CB152" s="7"/>
      <c r="CC152" s="7"/>
    </row>
    <row r="153" spans="1:81" ht="12" customHeight="1" x14ac:dyDescent="0.3">
      <c r="A153" s="7"/>
      <c r="B153" s="7"/>
      <c r="C153" s="1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8"/>
      <c r="BX153" s="7"/>
      <c r="BY153" s="7"/>
      <c r="BZ153" s="7"/>
      <c r="CA153" s="7"/>
      <c r="CB153" s="7"/>
      <c r="CC153" s="7"/>
    </row>
    <row r="154" spans="1:81" ht="12" customHeight="1" x14ac:dyDescent="0.3">
      <c r="A154" s="7"/>
      <c r="B154" s="7"/>
      <c r="C154" s="1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8"/>
      <c r="BX154" s="7"/>
      <c r="BY154" s="7"/>
      <c r="BZ154" s="7"/>
      <c r="CA154" s="7"/>
      <c r="CB154" s="7"/>
      <c r="CC154" s="7"/>
    </row>
    <row r="155" spans="1:81" ht="12" customHeight="1" x14ac:dyDescent="0.3">
      <c r="A155" s="7"/>
      <c r="B155" s="7"/>
      <c r="C155" s="1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8"/>
      <c r="BX155" s="7"/>
      <c r="BY155" s="7"/>
      <c r="BZ155" s="7"/>
      <c r="CA155" s="7"/>
      <c r="CB155" s="7"/>
      <c r="CC155" s="7"/>
    </row>
    <row r="156" spans="1:81" ht="12" customHeight="1" x14ac:dyDescent="0.3">
      <c r="A156" s="7"/>
      <c r="B156" s="7"/>
      <c r="C156" s="1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8"/>
      <c r="BX156" s="7"/>
      <c r="BY156" s="7"/>
      <c r="BZ156" s="7"/>
      <c r="CA156" s="7"/>
      <c r="CB156" s="7"/>
      <c r="CC156" s="7"/>
    </row>
    <row r="157" spans="1:81" ht="12" customHeight="1" x14ac:dyDescent="0.3">
      <c r="A157" s="7"/>
      <c r="B157" s="7"/>
      <c r="C157" s="1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8"/>
      <c r="BX157" s="7"/>
      <c r="BY157" s="7"/>
      <c r="BZ157" s="7"/>
      <c r="CA157" s="7"/>
      <c r="CB157" s="7"/>
      <c r="CC157" s="7"/>
    </row>
    <row r="158" spans="1:81" ht="12" customHeight="1" x14ac:dyDescent="0.3">
      <c r="A158" s="7"/>
      <c r="B158" s="7"/>
      <c r="C158" s="1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8"/>
      <c r="BX158" s="7"/>
      <c r="BY158" s="7"/>
      <c r="BZ158" s="7"/>
      <c r="CA158" s="7"/>
      <c r="CB158" s="7"/>
      <c r="CC158" s="7"/>
    </row>
    <row r="159" spans="1:81" ht="12" customHeight="1" x14ac:dyDescent="0.3">
      <c r="A159" s="7"/>
      <c r="B159" s="7"/>
      <c r="C159" s="1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8"/>
      <c r="BX159" s="7"/>
      <c r="BY159" s="7"/>
      <c r="BZ159" s="7"/>
      <c r="CA159" s="7"/>
      <c r="CB159" s="7"/>
      <c r="CC159" s="7"/>
    </row>
    <row r="160" spans="1:81" ht="12" customHeight="1" x14ac:dyDescent="0.3">
      <c r="A160" s="7"/>
      <c r="B160" s="7"/>
      <c r="C160" s="1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8"/>
      <c r="BX160" s="7"/>
      <c r="BY160" s="7"/>
      <c r="BZ160" s="7"/>
      <c r="CA160" s="7"/>
      <c r="CB160" s="7"/>
      <c r="CC160" s="7"/>
    </row>
    <row r="161" spans="1:81" ht="12" customHeight="1" x14ac:dyDescent="0.3">
      <c r="A161" s="7"/>
      <c r="B161" s="7"/>
      <c r="C161" s="1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8"/>
      <c r="BX161" s="7"/>
      <c r="BY161" s="7"/>
      <c r="BZ161" s="7"/>
      <c r="CA161" s="7"/>
      <c r="CB161" s="7"/>
      <c r="CC161" s="7"/>
    </row>
    <row r="162" spans="1:81" ht="12" customHeight="1" x14ac:dyDescent="0.3">
      <c r="A162" s="7"/>
      <c r="B162" s="7"/>
      <c r="C162" s="1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8"/>
      <c r="BX162" s="7"/>
      <c r="BY162" s="7"/>
      <c r="BZ162" s="7"/>
      <c r="CA162" s="7"/>
      <c r="CB162" s="7"/>
      <c r="CC162" s="7"/>
    </row>
    <row r="163" spans="1:81" ht="12" customHeight="1" x14ac:dyDescent="0.3">
      <c r="A163" s="7"/>
      <c r="B163" s="7"/>
      <c r="C163" s="1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8"/>
      <c r="BX163" s="7"/>
      <c r="BY163" s="7"/>
      <c r="BZ163" s="7"/>
      <c r="CA163" s="7"/>
      <c r="CB163" s="7"/>
      <c r="CC163" s="7"/>
    </row>
    <row r="164" spans="1:81" ht="12" customHeight="1" x14ac:dyDescent="0.3">
      <c r="A164" s="7"/>
      <c r="B164" s="7"/>
      <c r="C164" s="1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8"/>
      <c r="BX164" s="7"/>
      <c r="BY164" s="7"/>
      <c r="BZ164" s="7"/>
      <c r="CA164" s="7"/>
      <c r="CB164" s="7"/>
      <c r="CC164" s="7"/>
    </row>
    <row r="165" spans="1:81" ht="12" customHeight="1" x14ac:dyDescent="0.3">
      <c r="A165" s="7"/>
      <c r="B165" s="7"/>
      <c r="C165" s="1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8"/>
      <c r="BX165" s="7"/>
      <c r="BY165" s="7"/>
      <c r="BZ165" s="7"/>
      <c r="CA165" s="7"/>
      <c r="CB165" s="7"/>
      <c r="CC165" s="7"/>
    </row>
    <row r="166" spans="1:81" ht="12" customHeight="1" x14ac:dyDescent="0.3">
      <c r="A166" s="7"/>
      <c r="B166" s="7"/>
      <c r="C166" s="1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8"/>
      <c r="BX166" s="7"/>
      <c r="BY166" s="7"/>
      <c r="BZ166" s="7"/>
      <c r="CA166" s="7"/>
      <c r="CB166" s="7"/>
      <c r="CC166" s="7"/>
    </row>
    <row r="167" spans="1:81" ht="12" customHeight="1" x14ac:dyDescent="0.3">
      <c r="A167" s="7"/>
      <c r="B167" s="7"/>
      <c r="C167" s="1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8"/>
      <c r="BX167" s="7"/>
      <c r="BY167" s="7"/>
      <c r="BZ167" s="7"/>
      <c r="CA167" s="7"/>
      <c r="CB167" s="7"/>
      <c r="CC167" s="7"/>
    </row>
    <row r="168" spans="1:81" ht="12" customHeight="1" x14ac:dyDescent="0.3">
      <c r="A168" s="7"/>
      <c r="B168" s="7"/>
      <c r="C168" s="1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8"/>
      <c r="BX168" s="7"/>
      <c r="BY168" s="7"/>
      <c r="BZ168" s="7"/>
      <c r="CA168" s="7"/>
      <c r="CB168" s="7"/>
      <c r="CC168" s="7"/>
    </row>
    <row r="169" spans="1:81" ht="12" customHeight="1" x14ac:dyDescent="0.3">
      <c r="A169" s="7"/>
      <c r="B169" s="7"/>
      <c r="C169" s="1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8"/>
      <c r="BX169" s="7"/>
      <c r="BY169" s="7"/>
      <c r="BZ169" s="7"/>
      <c r="CA169" s="7"/>
      <c r="CB169" s="7"/>
      <c r="CC169" s="7"/>
    </row>
    <row r="170" spans="1:81" ht="12" customHeight="1" x14ac:dyDescent="0.3">
      <c r="A170" s="7"/>
      <c r="B170" s="7"/>
      <c r="C170" s="1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8"/>
      <c r="BX170" s="7"/>
      <c r="BY170" s="7"/>
      <c r="BZ170" s="7"/>
      <c r="CA170" s="7"/>
      <c r="CB170" s="7"/>
      <c r="CC170" s="7"/>
    </row>
    <row r="171" spans="1:81" ht="12" customHeight="1" x14ac:dyDescent="0.3">
      <c r="A171" s="7"/>
      <c r="B171" s="7"/>
      <c r="C171" s="1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8"/>
      <c r="BX171" s="7"/>
      <c r="BY171" s="7"/>
      <c r="BZ171" s="7"/>
      <c r="CA171" s="7"/>
      <c r="CB171" s="7"/>
      <c r="CC171" s="7"/>
    </row>
    <row r="172" spans="1:81" ht="12" customHeight="1" x14ac:dyDescent="0.3">
      <c r="A172" s="7"/>
      <c r="B172" s="7"/>
      <c r="C172" s="1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8"/>
      <c r="BX172" s="7"/>
      <c r="BY172" s="7"/>
      <c r="BZ172" s="7"/>
      <c r="CA172" s="7"/>
      <c r="CB172" s="7"/>
      <c r="CC172" s="7"/>
    </row>
    <row r="173" spans="1:81" ht="12" customHeight="1" x14ac:dyDescent="0.3">
      <c r="A173" s="7"/>
      <c r="B173" s="7"/>
      <c r="C173" s="1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8"/>
      <c r="BX173" s="7"/>
      <c r="BY173" s="7"/>
      <c r="BZ173" s="7"/>
      <c r="CA173" s="7"/>
      <c r="CB173" s="7"/>
      <c r="CC173" s="7"/>
    </row>
    <row r="174" spans="1:81" ht="12" customHeight="1" x14ac:dyDescent="0.3">
      <c r="A174" s="7"/>
      <c r="B174" s="7"/>
      <c r="C174" s="1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8"/>
      <c r="BX174" s="7"/>
      <c r="BY174" s="7"/>
      <c r="BZ174" s="7"/>
      <c r="CA174" s="7"/>
      <c r="CB174" s="7"/>
      <c r="CC174" s="7"/>
    </row>
    <row r="175" spans="1:81" ht="12" customHeight="1" x14ac:dyDescent="0.3">
      <c r="A175" s="7"/>
      <c r="B175" s="7"/>
      <c r="C175" s="1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8"/>
      <c r="BX175" s="7"/>
      <c r="BY175" s="7"/>
      <c r="BZ175" s="7"/>
      <c r="CA175" s="7"/>
      <c r="CB175" s="7"/>
      <c r="CC175" s="7"/>
    </row>
    <row r="176" spans="1:81" ht="12" customHeight="1" x14ac:dyDescent="0.3">
      <c r="A176" s="7"/>
      <c r="B176" s="7"/>
      <c r="C176" s="1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8"/>
      <c r="BX176" s="7"/>
      <c r="BY176" s="7"/>
      <c r="BZ176" s="7"/>
      <c r="CA176" s="7"/>
      <c r="CB176" s="7"/>
      <c r="CC176" s="7"/>
    </row>
    <row r="177" spans="1:81" ht="12" customHeight="1" x14ac:dyDescent="0.3">
      <c r="A177" s="7"/>
      <c r="B177" s="7"/>
      <c r="C177" s="1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8"/>
      <c r="BX177" s="7"/>
      <c r="BY177" s="7"/>
      <c r="BZ177" s="7"/>
      <c r="CA177" s="7"/>
      <c r="CB177" s="7"/>
      <c r="CC177" s="7"/>
    </row>
    <row r="178" spans="1:81" ht="12" customHeight="1" x14ac:dyDescent="0.3">
      <c r="A178" s="7"/>
      <c r="B178" s="7"/>
      <c r="C178" s="1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8"/>
      <c r="BX178" s="7"/>
      <c r="BY178" s="7"/>
      <c r="BZ178" s="7"/>
      <c r="CA178" s="7"/>
      <c r="CB178" s="7"/>
      <c r="CC178" s="7"/>
    </row>
    <row r="179" spans="1:81" ht="12" customHeight="1" x14ac:dyDescent="0.3">
      <c r="A179" s="7"/>
      <c r="B179" s="7"/>
      <c r="C179" s="1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8"/>
      <c r="BX179" s="7"/>
      <c r="BY179" s="7"/>
      <c r="BZ179" s="7"/>
      <c r="CA179" s="7"/>
      <c r="CB179" s="7"/>
      <c r="CC179" s="7"/>
    </row>
    <row r="180" spans="1:81" ht="12" customHeight="1" x14ac:dyDescent="0.3">
      <c r="A180" s="7"/>
      <c r="B180" s="7"/>
      <c r="C180" s="1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8"/>
      <c r="BX180" s="7"/>
      <c r="BY180" s="7"/>
      <c r="BZ180" s="7"/>
      <c r="CA180" s="7"/>
      <c r="CB180" s="7"/>
      <c r="CC180" s="7"/>
    </row>
    <row r="181" spans="1:81" ht="12" customHeight="1" x14ac:dyDescent="0.3">
      <c r="A181" s="7"/>
      <c r="B181" s="7"/>
      <c r="C181" s="1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8"/>
      <c r="BX181" s="7"/>
      <c r="BY181" s="7"/>
      <c r="BZ181" s="7"/>
      <c r="CA181" s="7"/>
      <c r="CB181" s="7"/>
      <c r="CC181" s="7"/>
    </row>
    <row r="182" spans="1:81" ht="12" customHeight="1" x14ac:dyDescent="0.3">
      <c r="A182" s="7"/>
      <c r="B182" s="7"/>
      <c r="C182" s="1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8"/>
      <c r="BX182" s="7"/>
      <c r="BY182" s="7"/>
      <c r="BZ182" s="7"/>
      <c r="CA182" s="7"/>
      <c r="CB182" s="7"/>
      <c r="CC182" s="7"/>
    </row>
    <row r="183" spans="1:81" ht="12" customHeight="1" x14ac:dyDescent="0.3">
      <c r="A183" s="7"/>
      <c r="B183" s="7"/>
      <c r="C183" s="11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8"/>
      <c r="BX183" s="7"/>
      <c r="BY183" s="7"/>
      <c r="BZ183" s="7"/>
      <c r="CA183" s="7"/>
      <c r="CB183" s="7"/>
      <c r="CC183" s="7"/>
    </row>
    <row r="184" spans="1:81" ht="12" customHeight="1" x14ac:dyDescent="0.3">
      <c r="A184" s="7"/>
      <c r="B184" s="7"/>
      <c r="C184" s="11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8"/>
      <c r="BX184" s="7"/>
      <c r="BY184" s="7"/>
      <c r="BZ184" s="7"/>
      <c r="CA184" s="7"/>
      <c r="CB184" s="7"/>
      <c r="CC184" s="7"/>
    </row>
    <row r="185" spans="1:81" ht="12" customHeight="1" x14ac:dyDescent="0.3">
      <c r="A185" s="7"/>
      <c r="B185" s="7"/>
      <c r="C185" s="11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8"/>
      <c r="BX185" s="7"/>
      <c r="BY185" s="7"/>
      <c r="BZ185" s="7"/>
      <c r="CA185" s="7"/>
      <c r="CB185" s="7"/>
      <c r="CC185" s="7"/>
    </row>
    <row r="186" spans="1:81" ht="12" customHeight="1" x14ac:dyDescent="0.3">
      <c r="A186" s="7"/>
      <c r="B186" s="7"/>
      <c r="C186" s="11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8"/>
      <c r="BX186" s="7"/>
      <c r="BY186" s="7"/>
      <c r="BZ186" s="7"/>
      <c r="CA186" s="7"/>
      <c r="CB186" s="7"/>
      <c r="CC186" s="7"/>
    </row>
    <row r="187" spans="1:81" ht="12" customHeight="1" x14ac:dyDescent="0.3">
      <c r="A187" s="7"/>
      <c r="B187" s="7"/>
      <c r="C187" s="11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8"/>
      <c r="BX187" s="7"/>
      <c r="BY187" s="7"/>
      <c r="BZ187" s="7"/>
      <c r="CA187" s="7"/>
      <c r="CB187" s="7"/>
      <c r="CC187" s="7"/>
    </row>
    <row r="188" spans="1:81" ht="12" customHeight="1" x14ac:dyDescent="0.3">
      <c r="A188" s="7"/>
      <c r="B188" s="7"/>
      <c r="C188" s="11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8"/>
      <c r="BX188" s="7"/>
      <c r="BY188" s="7"/>
      <c r="BZ188" s="7"/>
      <c r="CA188" s="7"/>
      <c r="CB188" s="7"/>
      <c r="CC188" s="7"/>
    </row>
    <row r="189" spans="1:81" ht="12" customHeight="1" x14ac:dyDescent="0.3">
      <c r="A189" s="7"/>
      <c r="B189" s="7"/>
      <c r="C189" s="11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8"/>
      <c r="BX189" s="7"/>
      <c r="BY189" s="7"/>
      <c r="BZ189" s="7"/>
      <c r="CA189" s="7"/>
      <c r="CB189" s="7"/>
      <c r="CC189" s="7"/>
    </row>
    <row r="190" spans="1:81" ht="12" customHeight="1" x14ac:dyDescent="0.3">
      <c r="A190" s="7"/>
      <c r="B190" s="7"/>
      <c r="C190" s="11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8"/>
      <c r="BX190" s="7"/>
      <c r="BY190" s="7"/>
      <c r="BZ190" s="7"/>
      <c r="CA190" s="7"/>
      <c r="CB190" s="7"/>
      <c r="CC190" s="7"/>
    </row>
    <row r="191" spans="1:81" ht="12" customHeight="1" x14ac:dyDescent="0.3">
      <c r="A191" s="7"/>
      <c r="B191" s="7"/>
      <c r="C191" s="11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8"/>
      <c r="BX191" s="7"/>
      <c r="BY191" s="7"/>
      <c r="BZ191" s="7"/>
      <c r="CA191" s="7"/>
      <c r="CB191" s="7"/>
      <c r="CC191" s="7"/>
    </row>
    <row r="192" spans="1:81" ht="12" customHeight="1" x14ac:dyDescent="0.3">
      <c r="A192" s="7"/>
      <c r="B192" s="7"/>
      <c r="C192" s="11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8"/>
      <c r="BX192" s="7"/>
      <c r="BY192" s="7"/>
      <c r="BZ192" s="7"/>
      <c r="CA192" s="7"/>
      <c r="CB192" s="7"/>
      <c r="CC192" s="7"/>
    </row>
    <row r="193" spans="1:81" ht="12" customHeight="1" x14ac:dyDescent="0.3">
      <c r="A193" s="7"/>
      <c r="B193" s="7"/>
      <c r="C193" s="11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8"/>
      <c r="BX193" s="7"/>
      <c r="BY193" s="7"/>
      <c r="BZ193" s="7"/>
      <c r="CA193" s="7"/>
      <c r="CB193" s="7"/>
      <c r="CC193" s="7"/>
    </row>
    <row r="194" spans="1:81" ht="12" customHeight="1" x14ac:dyDescent="0.3">
      <c r="A194" s="7"/>
      <c r="B194" s="7"/>
      <c r="C194" s="11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8"/>
      <c r="BX194" s="7"/>
      <c r="BY194" s="7"/>
      <c r="BZ194" s="7"/>
      <c r="CA194" s="7"/>
      <c r="CB194" s="7"/>
      <c r="CC194" s="7"/>
    </row>
    <row r="195" spans="1:81" ht="12" customHeight="1" x14ac:dyDescent="0.3">
      <c r="A195" s="7"/>
      <c r="B195" s="7"/>
      <c r="C195" s="11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8"/>
      <c r="BX195" s="7"/>
      <c r="BY195" s="7"/>
      <c r="BZ195" s="7"/>
      <c r="CA195" s="7"/>
      <c r="CB195" s="7"/>
      <c r="CC195" s="7"/>
    </row>
    <row r="196" spans="1:81" ht="12" customHeight="1" x14ac:dyDescent="0.3">
      <c r="A196" s="7"/>
      <c r="B196" s="7"/>
      <c r="C196" s="11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8"/>
      <c r="BX196" s="7"/>
      <c r="BY196" s="7"/>
      <c r="BZ196" s="7"/>
      <c r="CA196" s="7"/>
      <c r="CB196" s="7"/>
      <c r="CC196" s="7"/>
    </row>
    <row r="197" spans="1:81" ht="12" customHeight="1" x14ac:dyDescent="0.3">
      <c r="A197" s="7"/>
      <c r="B197" s="7"/>
      <c r="C197" s="1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8"/>
      <c r="BX197" s="7"/>
      <c r="BY197" s="7"/>
      <c r="BZ197" s="7"/>
      <c r="CA197" s="7"/>
      <c r="CB197" s="7"/>
      <c r="CC197" s="7"/>
    </row>
    <row r="198" spans="1:81" ht="12" customHeight="1" x14ac:dyDescent="0.3">
      <c r="A198" s="7"/>
      <c r="B198" s="7"/>
      <c r="C198" s="11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8"/>
      <c r="BX198" s="7"/>
      <c r="BY198" s="7"/>
      <c r="BZ198" s="7"/>
      <c r="CA198" s="7"/>
      <c r="CB198" s="7"/>
      <c r="CC198" s="7"/>
    </row>
    <row r="199" spans="1:81" ht="12" customHeight="1" x14ac:dyDescent="0.3">
      <c r="A199" s="7"/>
      <c r="B199" s="7"/>
      <c r="C199" s="11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8"/>
      <c r="BX199" s="7"/>
      <c r="BY199" s="7"/>
      <c r="BZ199" s="7"/>
      <c r="CA199" s="7"/>
      <c r="CB199" s="7"/>
      <c r="CC199" s="7"/>
    </row>
    <row r="200" spans="1:81" ht="12" customHeight="1" x14ac:dyDescent="0.3">
      <c r="A200" s="7"/>
      <c r="B200" s="7"/>
      <c r="C200" s="11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8"/>
      <c r="BX200" s="7"/>
      <c r="BY200" s="7"/>
      <c r="BZ200" s="7"/>
      <c r="CA200" s="7"/>
      <c r="CB200" s="7"/>
      <c r="CC200" s="7"/>
    </row>
    <row r="201" spans="1:81" ht="12" customHeight="1" x14ac:dyDescent="0.3">
      <c r="A201" s="7"/>
      <c r="B201" s="7"/>
      <c r="C201" s="11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8"/>
      <c r="BX201" s="7"/>
      <c r="BY201" s="7"/>
      <c r="BZ201" s="7"/>
      <c r="CA201" s="7"/>
      <c r="CB201" s="7"/>
      <c r="CC201" s="7"/>
    </row>
    <row r="202" spans="1:81" ht="12" customHeight="1" x14ac:dyDescent="0.3">
      <c r="A202" s="7"/>
      <c r="B202" s="7"/>
      <c r="C202" s="11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8"/>
      <c r="BX202" s="7"/>
      <c r="BY202" s="7"/>
      <c r="BZ202" s="7"/>
      <c r="CA202" s="7"/>
      <c r="CB202" s="7"/>
      <c r="CC202" s="7"/>
    </row>
    <row r="203" spans="1:81" ht="12" customHeight="1" x14ac:dyDescent="0.3">
      <c r="A203" s="7"/>
      <c r="B203" s="7"/>
      <c r="C203" s="11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8"/>
      <c r="BX203" s="7"/>
      <c r="BY203" s="7"/>
      <c r="BZ203" s="7"/>
      <c r="CA203" s="7"/>
      <c r="CB203" s="7"/>
      <c r="CC203" s="7"/>
    </row>
    <row r="204" spans="1:81" ht="12" customHeight="1" x14ac:dyDescent="0.3">
      <c r="A204" s="7"/>
      <c r="B204" s="7"/>
      <c r="C204" s="11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8"/>
      <c r="BX204" s="7"/>
      <c r="BY204" s="7"/>
      <c r="BZ204" s="7"/>
      <c r="CA204" s="7"/>
      <c r="CB204" s="7"/>
      <c r="CC204" s="7"/>
    </row>
    <row r="205" spans="1:81" ht="12" customHeight="1" x14ac:dyDescent="0.3">
      <c r="A205" s="7"/>
      <c r="B205" s="7"/>
      <c r="C205" s="11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8"/>
      <c r="BX205" s="7"/>
      <c r="BY205" s="7"/>
      <c r="BZ205" s="7"/>
      <c r="CA205" s="7"/>
      <c r="CB205" s="7"/>
      <c r="CC205" s="7"/>
    </row>
    <row r="206" spans="1:81" ht="12" customHeight="1" x14ac:dyDescent="0.3">
      <c r="A206" s="7"/>
      <c r="B206" s="7"/>
      <c r="C206" s="11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8"/>
      <c r="BX206" s="7"/>
      <c r="BY206" s="7"/>
      <c r="BZ206" s="7"/>
      <c r="CA206" s="7"/>
      <c r="CB206" s="7"/>
      <c r="CC206" s="7"/>
    </row>
    <row r="207" spans="1:81" ht="12" customHeight="1" x14ac:dyDescent="0.3">
      <c r="A207" s="7"/>
      <c r="B207" s="7"/>
      <c r="C207" s="11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8"/>
      <c r="BX207" s="7"/>
      <c r="BY207" s="7"/>
      <c r="BZ207" s="7"/>
      <c r="CA207" s="7"/>
      <c r="CB207" s="7"/>
      <c r="CC207" s="7"/>
    </row>
    <row r="208" spans="1:81" ht="12" customHeight="1" x14ac:dyDescent="0.3">
      <c r="A208" s="7"/>
      <c r="B208" s="7"/>
      <c r="C208" s="11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8"/>
      <c r="BX208" s="7"/>
      <c r="BY208" s="7"/>
      <c r="BZ208" s="7"/>
      <c r="CA208" s="7"/>
      <c r="CB208" s="7"/>
      <c r="CC208" s="7"/>
    </row>
    <row r="209" spans="1:81" ht="12" customHeight="1" x14ac:dyDescent="0.3">
      <c r="A209" s="7"/>
      <c r="B209" s="7"/>
      <c r="C209" s="11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8"/>
      <c r="BX209" s="7"/>
      <c r="BY209" s="7"/>
      <c r="BZ209" s="7"/>
      <c r="CA209" s="7"/>
      <c r="CB209" s="7"/>
      <c r="CC209" s="7"/>
    </row>
    <row r="210" spans="1:81" ht="12" customHeight="1" x14ac:dyDescent="0.3">
      <c r="A210" s="7"/>
      <c r="B210" s="7"/>
      <c r="C210" s="11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8"/>
      <c r="BX210" s="7"/>
      <c r="BY210" s="7"/>
      <c r="BZ210" s="7"/>
      <c r="CA210" s="7"/>
      <c r="CB210" s="7"/>
      <c r="CC210" s="7"/>
    </row>
    <row r="211" spans="1:81" ht="12" customHeight="1" x14ac:dyDescent="0.3">
      <c r="A211" s="7"/>
      <c r="B211" s="7"/>
      <c r="C211" s="11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8"/>
      <c r="BX211" s="7"/>
      <c r="BY211" s="7"/>
      <c r="BZ211" s="7"/>
      <c r="CA211" s="7"/>
      <c r="CB211" s="7"/>
      <c r="CC211" s="7"/>
    </row>
    <row r="212" spans="1:81" ht="12" customHeight="1" x14ac:dyDescent="0.3">
      <c r="A212" s="7"/>
      <c r="B212" s="7"/>
      <c r="C212" s="11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8"/>
      <c r="BX212" s="7"/>
      <c r="BY212" s="7"/>
      <c r="BZ212" s="7"/>
      <c r="CA212" s="7"/>
      <c r="CB212" s="7"/>
      <c r="CC212" s="7"/>
    </row>
    <row r="213" spans="1:81" ht="12" customHeight="1" x14ac:dyDescent="0.3">
      <c r="A213" s="7"/>
      <c r="B213" s="7"/>
      <c r="C213" s="11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8"/>
      <c r="BX213" s="7"/>
      <c r="BY213" s="7"/>
      <c r="BZ213" s="7"/>
      <c r="CA213" s="7"/>
      <c r="CB213" s="7"/>
      <c r="CC213" s="7"/>
    </row>
    <row r="214" spans="1:81" ht="12" customHeight="1" x14ac:dyDescent="0.3">
      <c r="A214" s="7"/>
      <c r="B214" s="7"/>
      <c r="C214" s="11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8"/>
      <c r="BX214" s="7"/>
      <c r="BY214" s="7"/>
      <c r="BZ214" s="7"/>
      <c r="CA214" s="7"/>
      <c r="CB214" s="7"/>
      <c r="CC214" s="7"/>
    </row>
    <row r="215" spans="1:81" ht="12" customHeight="1" x14ac:dyDescent="0.3">
      <c r="A215" s="7"/>
      <c r="B215" s="7"/>
      <c r="C215" s="11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8"/>
      <c r="BX215" s="7"/>
      <c r="BY215" s="7"/>
      <c r="BZ215" s="7"/>
      <c r="CA215" s="7"/>
      <c r="CB215" s="7"/>
      <c r="CC215" s="7"/>
    </row>
    <row r="216" spans="1:81" ht="12" customHeight="1" x14ac:dyDescent="0.3">
      <c r="A216" s="7"/>
      <c r="B216" s="7"/>
      <c r="C216" s="11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8"/>
      <c r="BX216" s="7"/>
      <c r="BY216" s="7"/>
      <c r="BZ216" s="7"/>
      <c r="CA216" s="7"/>
      <c r="CB216" s="7"/>
      <c r="CC216" s="7"/>
    </row>
    <row r="217" spans="1:81" ht="12" customHeight="1" x14ac:dyDescent="0.3">
      <c r="A217" s="7"/>
      <c r="B217" s="7"/>
      <c r="C217" s="11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8"/>
      <c r="BX217" s="7"/>
      <c r="BY217" s="7"/>
      <c r="BZ217" s="7"/>
      <c r="CA217" s="7"/>
      <c r="CB217" s="7"/>
      <c r="CC217" s="7"/>
    </row>
    <row r="218" spans="1:81" ht="12" customHeight="1" x14ac:dyDescent="0.3">
      <c r="A218" s="7"/>
      <c r="B218" s="7"/>
      <c r="C218" s="11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8"/>
      <c r="BX218" s="7"/>
      <c r="BY218" s="7"/>
      <c r="BZ218" s="7"/>
      <c r="CA218" s="7"/>
      <c r="CB218" s="7"/>
      <c r="CC218" s="7"/>
    </row>
    <row r="219" spans="1:81" ht="12" customHeight="1" x14ac:dyDescent="0.3">
      <c r="A219" s="7"/>
      <c r="B219" s="7"/>
      <c r="C219" s="11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8"/>
      <c r="BX219" s="7"/>
      <c r="BY219" s="7"/>
      <c r="BZ219" s="7"/>
      <c r="CA219" s="7"/>
      <c r="CB219" s="7"/>
      <c r="CC219" s="7"/>
    </row>
    <row r="220" spans="1:81" ht="12" customHeight="1" x14ac:dyDescent="0.3">
      <c r="A220" s="7"/>
      <c r="B220" s="7"/>
      <c r="C220" s="11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8"/>
      <c r="BX220" s="7"/>
      <c r="BY220" s="7"/>
      <c r="BZ220" s="7"/>
      <c r="CA220" s="7"/>
      <c r="CB220" s="7"/>
      <c r="CC220" s="7"/>
    </row>
    <row r="221" spans="1:81" ht="12" customHeight="1" x14ac:dyDescent="0.3">
      <c r="A221" s="7"/>
      <c r="B221" s="7"/>
      <c r="C221" s="11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8"/>
      <c r="BX221" s="7"/>
      <c r="BY221" s="7"/>
      <c r="BZ221" s="7"/>
      <c r="CA221" s="7"/>
      <c r="CB221" s="7"/>
      <c r="CC221" s="7"/>
    </row>
    <row r="222" spans="1:81" ht="12" customHeight="1" x14ac:dyDescent="0.3">
      <c r="A222" s="7"/>
      <c r="B222" s="7"/>
      <c r="C222" s="11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8"/>
      <c r="BX222" s="7"/>
      <c r="BY222" s="7"/>
      <c r="BZ222" s="7"/>
      <c r="CA222" s="7"/>
      <c r="CB222" s="7"/>
      <c r="CC222" s="7"/>
    </row>
    <row r="223" spans="1:81" ht="12" customHeight="1" x14ac:dyDescent="0.3">
      <c r="A223" s="7"/>
      <c r="B223" s="7"/>
      <c r="C223" s="11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8"/>
      <c r="BX223" s="7"/>
      <c r="BY223" s="7"/>
      <c r="BZ223" s="7"/>
      <c r="CA223" s="7"/>
      <c r="CB223" s="7"/>
      <c r="CC223" s="7"/>
    </row>
    <row r="224" spans="1:81" ht="12" customHeight="1" x14ac:dyDescent="0.3">
      <c r="A224" s="7"/>
      <c r="B224" s="7"/>
      <c r="C224" s="11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8"/>
      <c r="BX224" s="7"/>
      <c r="BY224" s="7"/>
      <c r="BZ224" s="7"/>
      <c r="CA224" s="7"/>
      <c r="CB224" s="7"/>
      <c r="CC224" s="7"/>
    </row>
    <row r="225" spans="1:81" ht="12" customHeight="1" x14ac:dyDescent="0.3">
      <c r="A225" s="7"/>
      <c r="B225" s="7"/>
      <c r="C225" s="11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8"/>
      <c r="BX225" s="7"/>
      <c r="BY225" s="7"/>
      <c r="BZ225" s="7"/>
      <c r="CA225" s="7"/>
      <c r="CB225" s="7"/>
      <c r="CC225" s="7"/>
    </row>
    <row r="226" spans="1:81" ht="12" customHeight="1" x14ac:dyDescent="0.3">
      <c r="A226" s="7"/>
      <c r="B226" s="7"/>
      <c r="C226" s="11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8"/>
      <c r="BX226" s="7"/>
      <c r="BY226" s="7"/>
      <c r="BZ226" s="7"/>
      <c r="CA226" s="7"/>
      <c r="CB226" s="7"/>
      <c r="CC226" s="7"/>
    </row>
    <row r="227" spans="1:81" ht="12" customHeight="1" x14ac:dyDescent="0.3">
      <c r="A227" s="7"/>
      <c r="B227" s="7"/>
      <c r="C227" s="11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8"/>
      <c r="BX227" s="7"/>
      <c r="BY227" s="7"/>
      <c r="BZ227" s="7"/>
      <c r="CA227" s="7"/>
      <c r="CB227" s="7"/>
      <c r="CC227" s="7"/>
    </row>
    <row r="228" spans="1:81" ht="12" customHeight="1" x14ac:dyDescent="0.3">
      <c r="A228" s="7"/>
      <c r="B228" s="7"/>
      <c r="C228" s="11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8"/>
      <c r="BX228" s="7"/>
      <c r="BY228" s="7"/>
      <c r="BZ228" s="7"/>
      <c r="CA228" s="7"/>
      <c r="CB228" s="7"/>
      <c r="CC228" s="7"/>
    </row>
    <row r="229" spans="1:81" ht="12" customHeight="1" x14ac:dyDescent="0.3">
      <c r="A229" s="7"/>
      <c r="B229" s="7"/>
      <c r="C229" s="11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8"/>
      <c r="BX229" s="7"/>
      <c r="BY229" s="7"/>
      <c r="BZ229" s="7"/>
      <c r="CA229" s="7"/>
      <c r="CB229" s="7"/>
      <c r="CC229" s="7"/>
    </row>
    <row r="230" spans="1:81" ht="12" customHeight="1" x14ac:dyDescent="0.3">
      <c r="A230" s="7"/>
      <c r="B230" s="7"/>
      <c r="C230" s="11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8"/>
      <c r="BX230" s="7"/>
      <c r="BY230" s="7"/>
      <c r="BZ230" s="7"/>
      <c r="CA230" s="7"/>
      <c r="CB230" s="7"/>
      <c r="CC230" s="7"/>
    </row>
    <row r="231" spans="1:81" ht="12" customHeight="1" x14ac:dyDescent="0.3">
      <c r="A231" s="7"/>
      <c r="B231" s="7"/>
      <c r="C231" s="11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8"/>
      <c r="BX231" s="7"/>
      <c r="BY231" s="7"/>
      <c r="BZ231" s="7"/>
      <c r="CA231" s="7"/>
      <c r="CB231" s="7"/>
      <c r="CC231" s="7"/>
    </row>
    <row r="232" spans="1:81" ht="12" customHeight="1" x14ac:dyDescent="0.3">
      <c r="A232" s="7"/>
      <c r="B232" s="7"/>
      <c r="C232" s="11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8"/>
      <c r="BX232" s="7"/>
      <c r="BY232" s="7"/>
      <c r="BZ232" s="7"/>
      <c r="CA232" s="7"/>
      <c r="CB232" s="7"/>
      <c r="CC232" s="7"/>
    </row>
    <row r="233" spans="1:81" ht="12" customHeight="1" x14ac:dyDescent="0.3">
      <c r="A233" s="7"/>
      <c r="B233" s="7"/>
      <c r="C233" s="11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8"/>
      <c r="BX233" s="7"/>
      <c r="BY233" s="7"/>
      <c r="BZ233" s="7"/>
      <c r="CA233" s="7"/>
      <c r="CB233" s="7"/>
      <c r="CC233" s="7"/>
    </row>
    <row r="234" spans="1:81" ht="12" customHeight="1" x14ac:dyDescent="0.3">
      <c r="A234" s="7"/>
      <c r="B234" s="7"/>
      <c r="C234" s="11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8"/>
      <c r="BX234" s="7"/>
      <c r="BY234" s="7"/>
      <c r="BZ234" s="7"/>
      <c r="CA234" s="7"/>
      <c r="CB234" s="7"/>
      <c r="CC234" s="7"/>
    </row>
    <row r="235" spans="1:81" ht="12" customHeight="1" x14ac:dyDescent="0.3">
      <c r="A235" s="7"/>
      <c r="B235" s="7"/>
      <c r="C235" s="11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8"/>
      <c r="BX235" s="7"/>
      <c r="BY235" s="7"/>
      <c r="BZ235" s="7"/>
      <c r="CA235" s="7"/>
      <c r="CB235" s="7"/>
      <c r="CC235" s="7"/>
    </row>
    <row r="236" spans="1:81" ht="12" customHeight="1" x14ac:dyDescent="0.3">
      <c r="A236" s="7"/>
      <c r="B236" s="7"/>
      <c r="C236" s="11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8"/>
      <c r="BX236" s="7"/>
      <c r="BY236" s="7"/>
      <c r="BZ236" s="7"/>
      <c r="CA236" s="7"/>
      <c r="CB236" s="7"/>
      <c r="CC236" s="7"/>
    </row>
    <row r="237" spans="1:81" ht="12" customHeight="1" x14ac:dyDescent="0.3">
      <c r="A237" s="7"/>
      <c r="B237" s="7"/>
      <c r="C237" s="11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8"/>
      <c r="BX237" s="7"/>
      <c r="BY237" s="7"/>
      <c r="BZ237" s="7"/>
      <c r="CA237" s="7"/>
      <c r="CB237" s="7"/>
      <c r="CC237" s="7"/>
    </row>
    <row r="238" spans="1:81" ht="12" customHeight="1" x14ac:dyDescent="0.3">
      <c r="A238" s="7"/>
      <c r="B238" s="7"/>
      <c r="C238" s="11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8"/>
      <c r="BX238" s="7"/>
      <c r="BY238" s="7"/>
      <c r="BZ238" s="7"/>
      <c r="CA238" s="7"/>
      <c r="CB238" s="7"/>
      <c r="CC238" s="7"/>
    </row>
    <row r="239" spans="1:81" ht="12" customHeight="1" x14ac:dyDescent="0.3">
      <c r="A239" s="7"/>
      <c r="B239" s="7"/>
      <c r="C239" s="11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8"/>
      <c r="BX239" s="7"/>
      <c r="BY239" s="7"/>
      <c r="BZ239" s="7"/>
      <c r="CA239" s="7"/>
      <c r="CB239" s="7"/>
      <c r="CC239" s="7"/>
    </row>
    <row r="240" spans="1:81" ht="12" customHeight="1" x14ac:dyDescent="0.3">
      <c r="A240" s="7"/>
      <c r="B240" s="7"/>
      <c r="C240" s="11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8"/>
      <c r="BX240" s="7"/>
      <c r="BY240" s="7"/>
      <c r="BZ240" s="7"/>
      <c r="CA240" s="7"/>
      <c r="CB240" s="7"/>
      <c r="CC240" s="7"/>
    </row>
    <row r="241" spans="1:81" ht="12" customHeight="1" x14ac:dyDescent="0.3">
      <c r="A241" s="7"/>
      <c r="B241" s="7"/>
      <c r="C241" s="11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8"/>
      <c r="BX241" s="7"/>
      <c r="BY241" s="7"/>
      <c r="BZ241" s="7"/>
      <c r="CA241" s="7"/>
      <c r="CB241" s="7"/>
      <c r="CC241" s="7"/>
    </row>
    <row r="242" spans="1:81" ht="12" customHeight="1" x14ac:dyDescent="0.3">
      <c r="A242" s="7"/>
      <c r="B242" s="7"/>
      <c r="C242" s="11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8"/>
      <c r="BX242" s="7"/>
      <c r="BY242" s="7"/>
      <c r="BZ242" s="7"/>
      <c r="CA242" s="7"/>
      <c r="CB242" s="7"/>
      <c r="CC242" s="7"/>
    </row>
    <row r="243" spans="1:81" ht="12" customHeight="1" x14ac:dyDescent="0.3">
      <c r="A243" s="7"/>
      <c r="B243" s="7"/>
      <c r="C243" s="11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8"/>
      <c r="BX243" s="7"/>
      <c r="BY243" s="7"/>
      <c r="BZ243" s="7"/>
      <c r="CA243" s="7"/>
      <c r="CB243" s="7"/>
      <c r="CC243" s="7"/>
    </row>
    <row r="244" spans="1:81" ht="12" customHeight="1" x14ac:dyDescent="0.3">
      <c r="A244" s="7"/>
      <c r="B244" s="7"/>
      <c r="C244" s="11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8"/>
      <c r="BX244" s="7"/>
      <c r="BY244" s="7"/>
      <c r="BZ244" s="7"/>
      <c r="CA244" s="7"/>
      <c r="CB244" s="7"/>
      <c r="CC244" s="7"/>
    </row>
    <row r="245" spans="1:81" ht="12" customHeight="1" x14ac:dyDescent="0.3">
      <c r="A245" s="7"/>
      <c r="B245" s="7"/>
      <c r="C245" s="11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8"/>
      <c r="BX245" s="7"/>
      <c r="BY245" s="7"/>
      <c r="BZ245" s="7"/>
      <c r="CA245" s="7"/>
      <c r="CB245" s="7"/>
      <c r="CC245" s="7"/>
    </row>
    <row r="246" spans="1:81" ht="12" customHeight="1" x14ac:dyDescent="0.3">
      <c r="A246" s="7"/>
      <c r="B246" s="7"/>
      <c r="C246" s="11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8"/>
      <c r="BX246" s="7"/>
      <c r="BY246" s="7"/>
      <c r="BZ246" s="7"/>
      <c r="CA246" s="7"/>
      <c r="CB246" s="7"/>
      <c r="CC246" s="7"/>
    </row>
    <row r="247" spans="1:81" ht="12" customHeight="1" x14ac:dyDescent="0.3">
      <c r="A247" s="7"/>
      <c r="B247" s="7"/>
      <c r="C247" s="11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8"/>
      <c r="BX247" s="7"/>
      <c r="BY247" s="7"/>
      <c r="BZ247" s="7"/>
      <c r="CA247" s="7"/>
      <c r="CB247" s="7"/>
      <c r="CC247" s="7"/>
    </row>
    <row r="248" spans="1:81" ht="12" customHeight="1" x14ac:dyDescent="0.3">
      <c r="A248" s="7"/>
      <c r="B248" s="7"/>
      <c r="C248" s="1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8"/>
      <c r="BX248" s="7"/>
      <c r="BY248" s="7"/>
      <c r="BZ248" s="7"/>
      <c r="CA248" s="7"/>
      <c r="CB248" s="7"/>
      <c r="CC248" s="7"/>
    </row>
    <row r="249" spans="1:81" ht="12" customHeight="1" x14ac:dyDescent="0.3">
      <c r="A249" s="7"/>
      <c r="B249" s="7"/>
      <c r="C249" s="11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8"/>
      <c r="BX249" s="7"/>
      <c r="BY249" s="7"/>
      <c r="BZ249" s="7"/>
      <c r="CA249" s="7"/>
      <c r="CB249" s="7"/>
      <c r="CC249" s="7"/>
    </row>
    <row r="250" spans="1:81" ht="12" customHeight="1" x14ac:dyDescent="0.3">
      <c r="A250" s="7"/>
      <c r="B250" s="7"/>
      <c r="C250" s="1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8"/>
      <c r="BX250" s="7"/>
      <c r="BY250" s="7"/>
      <c r="BZ250" s="7"/>
      <c r="CA250" s="7"/>
      <c r="CB250" s="7"/>
      <c r="CC250" s="7"/>
    </row>
    <row r="251" spans="1:81" ht="12" customHeight="1" x14ac:dyDescent="0.3">
      <c r="A251" s="7"/>
      <c r="B251" s="7"/>
      <c r="C251" s="1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8"/>
      <c r="BX251" s="7"/>
      <c r="BY251" s="7"/>
      <c r="BZ251" s="7"/>
      <c r="CA251" s="7"/>
      <c r="CB251" s="7"/>
      <c r="CC251" s="7"/>
    </row>
    <row r="252" spans="1:81" ht="12" customHeight="1" x14ac:dyDescent="0.3">
      <c r="A252" s="7"/>
      <c r="B252" s="7"/>
      <c r="C252" s="1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8"/>
      <c r="BX252" s="7"/>
      <c r="BY252" s="7"/>
      <c r="BZ252" s="7"/>
      <c r="CA252" s="7"/>
      <c r="CB252" s="7"/>
      <c r="CC252" s="7"/>
    </row>
    <row r="253" spans="1:81" ht="12" customHeight="1" x14ac:dyDescent="0.3">
      <c r="A253" s="7"/>
      <c r="B253" s="7"/>
      <c r="C253" s="1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8"/>
      <c r="BX253" s="7"/>
      <c r="BY253" s="7"/>
      <c r="BZ253" s="7"/>
      <c r="CA253" s="7"/>
      <c r="CB253" s="7"/>
      <c r="CC253" s="7"/>
    </row>
    <row r="254" spans="1:81" ht="12" customHeight="1" x14ac:dyDescent="0.3">
      <c r="A254" s="7"/>
      <c r="B254" s="7"/>
      <c r="C254" s="1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8"/>
      <c r="BX254" s="7"/>
      <c r="BY254" s="7"/>
      <c r="BZ254" s="7"/>
      <c r="CA254" s="7"/>
      <c r="CB254" s="7"/>
      <c r="CC254" s="7"/>
    </row>
    <row r="255" spans="1:81" ht="12" customHeight="1" x14ac:dyDescent="0.3">
      <c r="A255" s="7"/>
      <c r="B255" s="7"/>
      <c r="C255" s="1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8"/>
      <c r="BX255" s="7"/>
      <c r="BY255" s="7"/>
      <c r="BZ255" s="7"/>
      <c r="CA255" s="7"/>
      <c r="CB255" s="7"/>
      <c r="CC255" s="7"/>
    </row>
    <row r="256" spans="1:81" ht="12" customHeight="1" x14ac:dyDescent="0.3">
      <c r="A256" s="7"/>
      <c r="B256" s="7"/>
      <c r="C256" s="1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8"/>
      <c r="BX256" s="7"/>
      <c r="BY256" s="7"/>
      <c r="BZ256" s="7"/>
      <c r="CA256" s="7"/>
      <c r="CB256" s="7"/>
      <c r="CC256" s="7"/>
    </row>
    <row r="257" spans="1:81" ht="12" customHeight="1" x14ac:dyDescent="0.3">
      <c r="A257" s="7"/>
      <c r="B257" s="7"/>
      <c r="C257" s="1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8"/>
      <c r="BX257" s="7"/>
      <c r="BY257" s="7"/>
      <c r="BZ257" s="7"/>
      <c r="CA257" s="7"/>
      <c r="CB257" s="7"/>
      <c r="CC257" s="7"/>
    </row>
    <row r="258" spans="1:81" ht="12" customHeight="1" x14ac:dyDescent="0.3">
      <c r="A258" s="7"/>
      <c r="B258" s="7"/>
      <c r="C258" s="1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8"/>
      <c r="BX258" s="7"/>
      <c r="BY258" s="7"/>
      <c r="BZ258" s="7"/>
      <c r="CA258" s="7"/>
      <c r="CB258" s="7"/>
      <c r="CC258" s="7"/>
    </row>
    <row r="259" spans="1:81" ht="12" customHeight="1" x14ac:dyDescent="0.3">
      <c r="A259" s="7"/>
      <c r="B259" s="7"/>
      <c r="C259" s="1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8"/>
      <c r="BX259" s="7"/>
      <c r="BY259" s="7"/>
      <c r="BZ259" s="7"/>
      <c r="CA259" s="7"/>
      <c r="CB259" s="7"/>
      <c r="CC259" s="7"/>
    </row>
    <row r="260" spans="1:81" ht="12" customHeight="1" x14ac:dyDescent="0.3">
      <c r="A260" s="7"/>
      <c r="B260" s="7"/>
      <c r="C260" s="1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8"/>
      <c r="BX260" s="7"/>
      <c r="BY260" s="7"/>
      <c r="BZ260" s="7"/>
      <c r="CA260" s="7"/>
      <c r="CB260" s="7"/>
      <c r="CC260" s="7"/>
    </row>
    <row r="261" spans="1:81" ht="12" customHeight="1" x14ac:dyDescent="0.3">
      <c r="A261" s="7"/>
      <c r="B261" s="7"/>
      <c r="C261" s="1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8"/>
      <c r="BX261" s="7"/>
      <c r="BY261" s="7"/>
      <c r="BZ261" s="7"/>
      <c r="CA261" s="7"/>
      <c r="CB261" s="7"/>
      <c r="CC261" s="7"/>
    </row>
    <row r="262" spans="1:81" ht="12" customHeight="1" x14ac:dyDescent="0.3">
      <c r="A262" s="7"/>
      <c r="B262" s="7"/>
      <c r="C262" s="1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8"/>
      <c r="BX262" s="7"/>
      <c r="BY262" s="7"/>
      <c r="BZ262" s="7"/>
      <c r="CA262" s="7"/>
      <c r="CB262" s="7"/>
      <c r="CC262" s="7"/>
    </row>
    <row r="263" spans="1:81" ht="12" customHeight="1" x14ac:dyDescent="0.3">
      <c r="A263" s="7"/>
      <c r="B263" s="7"/>
      <c r="C263" s="1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8"/>
      <c r="BX263" s="7"/>
      <c r="BY263" s="7"/>
      <c r="BZ263" s="7"/>
      <c r="CA263" s="7"/>
      <c r="CB263" s="7"/>
      <c r="CC263" s="7"/>
    </row>
    <row r="264" spans="1:81" ht="12" customHeight="1" x14ac:dyDescent="0.3">
      <c r="A264" s="7"/>
      <c r="B264" s="7"/>
      <c r="C264" s="1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8"/>
      <c r="BX264" s="7"/>
      <c r="BY264" s="7"/>
      <c r="BZ264" s="7"/>
      <c r="CA264" s="7"/>
      <c r="CB264" s="7"/>
      <c r="CC264" s="7"/>
    </row>
    <row r="265" spans="1:81" ht="12" customHeight="1" x14ac:dyDescent="0.3">
      <c r="A265" s="7"/>
      <c r="B265" s="7"/>
      <c r="C265" s="1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8"/>
      <c r="BX265" s="7"/>
      <c r="BY265" s="7"/>
      <c r="BZ265" s="7"/>
      <c r="CA265" s="7"/>
      <c r="CB265" s="7"/>
      <c r="CC265" s="7"/>
    </row>
    <row r="266" spans="1:81" ht="12" customHeight="1" x14ac:dyDescent="0.3">
      <c r="A266" s="7"/>
      <c r="B266" s="7"/>
      <c r="C266" s="1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8"/>
      <c r="BX266" s="7"/>
      <c r="BY266" s="7"/>
      <c r="BZ266" s="7"/>
      <c r="CA266" s="7"/>
      <c r="CB266" s="7"/>
      <c r="CC266" s="7"/>
    </row>
    <row r="267" spans="1:81" ht="12" customHeight="1" x14ac:dyDescent="0.3">
      <c r="A267" s="7"/>
      <c r="B267" s="7"/>
      <c r="C267" s="1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8"/>
      <c r="BX267" s="7"/>
      <c r="BY267" s="7"/>
      <c r="BZ267" s="7"/>
      <c r="CA267" s="7"/>
      <c r="CB267" s="7"/>
      <c r="CC267" s="7"/>
    </row>
    <row r="268" spans="1:81" ht="12" customHeight="1" x14ac:dyDescent="0.3">
      <c r="A268" s="7"/>
      <c r="B268" s="7"/>
      <c r="C268" s="1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8"/>
      <c r="BX268" s="7"/>
      <c r="BY268" s="7"/>
      <c r="BZ268" s="7"/>
      <c r="CA268" s="7"/>
      <c r="CB268" s="7"/>
      <c r="CC268" s="7"/>
    </row>
    <row r="269" spans="1:81" ht="12" customHeight="1" x14ac:dyDescent="0.3">
      <c r="A269" s="7"/>
      <c r="B269" s="7"/>
      <c r="C269" s="1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8"/>
      <c r="BX269" s="7"/>
      <c r="BY269" s="7"/>
      <c r="BZ269" s="7"/>
      <c r="CA269" s="7"/>
      <c r="CB269" s="7"/>
      <c r="CC269" s="7"/>
    </row>
    <row r="270" spans="1:81" ht="12" customHeight="1" x14ac:dyDescent="0.3">
      <c r="A270" s="7"/>
      <c r="B270" s="7"/>
      <c r="C270" s="1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8"/>
      <c r="BX270" s="7"/>
      <c r="BY270" s="7"/>
      <c r="BZ270" s="7"/>
      <c r="CA270" s="7"/>
      <c r="CB270" s="7"/>
      <c r="CC270" s="7"/>
    </row>
    <row r="271" spans="1:81" ht="12" customHeight="1" x14ac:dyDescent="0.3">
      <c r="A271" s="7"/>
      <c r="B271" s="7"/>
      <c r="C271" s="1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8"/>
      <c r="BX271" s="7"/>
      <c r="BY271" s="7"/>
      <c r="BZ271" s="7"/>
      <c r="CA271" s="7"/>
      <c r="CB271" s="7"/>
      <c r="CC271" s="7"/>
    </row>
    <row r="272" spans="1:81" ht="12" customHeight="1" x14ac:dyDescent="0.3">
      <c r="A272" s="7"/>
      <c r="B272" s="7"/>
      <c r="C272" s="1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8"/>
      <c r="BX272" s="7"/>
      <c r="BY272" s="7"/>
      <c r="BZ272" s="7"/>
      <c r="CA272" s="7"/>
      <c r="CB272" s="7"/>
      <c r="CC272" s="7"/>
    </row>
    <row r="273" spans="1:81" ht="12" customHeight="1" x14ac:dyDescent="0.3">
      <c r="A273" s="7"/>
      <c r="B273" s="7"/>
      <c r="C273" s="1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8"/>
      <c r="BX273" s="7"/>
      <c r="BY273" s="7"/>
      <c r="BZ273" s="7"/>
      <c r="CA273" s="7"/>
      <c r="CB273" s="7"/>
      <c r="CC273" s="7"/>
    </row>
    <row r="274" spans="1:81" ht="12" customHeight="1" x14ac:dyDescent="0.3">
      <c r="A274" s="7"/>
      <c r="B274" s="7"/>
      <c r="C274" s="1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8"/>
      <c r="BX274" s="7"/>
      <c r="BY274" s="7"/>
      <c r="BZ274" s="7"/>
      <c r="CA274" s="7"/>
      <c r="CB274" s="7"/>
      <c r="CC274" s="7"/>
    </row>
    <row r="275" spans="1:81" ht="12" customHeight="1" x14ac:dyDescent="0.3">
      <c r="A275" s="7"/>
      <c r="B275" s="7"/>
      <c r="C275" s="1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8"/>
      <c r="BX275" s="7"/>
      <c r="BY275" s="7"/>
      <c r="BZ275" s="7"/>
      <c r="CA275" s="7"/>
      <c r="CB275" s="7"/>
      <c r="CC275" s="7"/>
    </row>
    <row r="276" spans="1:81" ht="12" customHeight="1" x14ac:dyDescent="0.3">
      <c r="A276" s="7"/>
      <c r="B276" s="7"/>
      <c r="C276" s="1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8"/>
      <c r="BX276" s="7"/>
      <c r="BY276" s="7"/>
      <c r="BZ276" s="7"/>
      <c r="CA276" s="7"/>
      <c r="CB276" s="7"/>
      <c r="CC276" s="7"/>
    </row>
    <row r="277" spans="1:81" ht="12" customHeight="1" x14ac:dyDescent="0.3">
      <c r="A277" s="7"/>
      <c r="B277" s="7"/>
      <c r="C277" s="1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8"/>
      <c r="BX277" s="7"/>
      <c r="BY277" s="7"/>
      <c r="BZ277" s="7"/>
      <c r="CA277" s="7"/>
      <c r="CB277" s="7"/>
      <c r="CC277" s="7"/>
    </row>
    <row r="278" spans="1:81" ht="12" customHeight="1" x14ac:dyDescent="0.3">
      <c r="A278" s="7"/>
      <c r="B278" s="7"/>
      <c r="C278" s="1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8"/>
      <c r="BX278" s="7"/>
      <c r="BY278" s="7"/>
      <c r="BZ278" s="7"/>
      <c r="CA278" s="7"/>
      <c r="CB278" s="7"/>
      <c r="CC278" s="7"/>
    </row>
    <row r="279" spans="1:81" ht="12" customHeight="1" x14ac:dyDescent="0.3">
      <c r="A279" s="7"/>
      <c r="B279" s="7"/>
      <c r="C279" s="1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8"/>
      <c r="BX279" s="7"/>
      <c r="BY279" s="7"/>
      <c r="BZ279" s="7"/>
      <c r="CA279" s="7"/>
      <c r="CB279" s="7"/>
      <c r="CC279" s="7"/>
    </row>
    <row r="280" spans="1:81" ht="12" customHeight="1" x14ac:dyDescent="0.3">
      <c r="A280" s="7"/>
      <c r="B280" s="7"/>
      <c r="C280" s="1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8"/>
      <c r="BX280" s="7"/>
      <c r="BY280" s="7"/>
      <c r="BZ280" s="7"/>
      <c r="CA280" s="7"/>
      <c r="CB280" s="7"/>
      <c r="CC280" s="7"/>
    </row>
    <row r="281" spans="1:81" ht="12" customHeight="1" x14ac:dyDescent="0.3">
      <c r="A281" s="7"/>
      <c r="B281" s="7"/>
      <c r="C281" s="1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8"/>
      <c r="BX281" s="7"/>
      <c r="BY281" s="7"/>
      <c r="BZ281" s="7"/>
      <c r="CA281" s="7"/>
      <c r="CB281" s="7"/>
      <c r="CC281" s="7"/>
    </row>
    <row r="282" spans="1:81" ht="12" customHeight="1" x14ac:dyDescent="0.3">
      <c r="A282" s="7"/>
      <c r="B282" s="7"/>
      <c r="C282" s="1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8"/>
      <c r="BX282" s="7"/>
      <c r="BY282" s="7"/>
      <c r="BZ282" s="7"/>
      <c r="CA282" s="7"/>
      <c r="CB282" s="7"/>
      <c r="CC282" s="7"/>
    </row>
    <row r="283" spans="1:81" ht="12" customHeight="1" x14ac:dyDescent="0.3">
      <c r="A283" s="7"/>
      <c r="B283" s="7"/>
      <c r="C283" s="1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8"/>
      <c r="BX283" s="7"/>
      <c r="BY283" s="7"/>
      <c r="BZ283" s="7"/>
      <c r="CA283" s="7"/>
      <c r="CB283" s="7"/>
      <c r="CC283" s="7"/>
    </row>
    <row r="284" spans="1:81" ht="12" customHeight="1" x14ac:dyDescent="0.3">
      <c r="A284" s="7"/>
      <c r="B284" s="7"/>
      <c r="C284" s="1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8"/>
      <c r="BX284" s="7"/>
      <c r="BY284" s="7"/>
      <c r="BZ284" s="7"/>
      <c r="CA284" s="7"/>
      <c r="CB284" s="7"/>
      <c r="CC284" s="7"/>
    </row>
    <row r="285" spans="1:81" ht="12" customHeight="1" x14ac:dyDescent="0.3">
      <c r="A285" s="7"/>
      <c r="B285" s="7"/>
      <c r="C285" s="1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8"/>
      <c r="BX285" s="7"/>
      <c r="BY285" s="7"/>
      <c r="BZ285" s="7"/>
      <c r="CA285" s="7"/>
      <c r="CB285" s="7"/>
      <c r="CC285" s="7"/>
    </row>
    <row r="286" spans="1:81" ht="12" customHeight="1" x14ac:dyDescent="0.3">
      <c r="A286" s="7"/>
      <c r="B286" s="7"/>
      <c r="C286" s="1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8"/>
      <c r="BX286" s="7"/>
      <c r="BY286" s="7"/>
      <c r="BZ286" s="7"/>
      <c r="CA286" s="7"/>
      <c r="CB286" s="7"/>
      <c r="CC286" s="7"/>
    </row>
    <row r="287" spans="1:81" ht="12" customHeight="1" x14ac:dyDescent="0.3">
      <c r="A287" s="7"/>
      <c r="B287" s="7"/>
      <c r="C287" s="1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8"/>
      <c r="BX287" s="7"/>
      <c r="BY287" s="7"/>
      <c r="BZ287" s="7"/>
      <c r="CA287" s="7"/>
      <c r="CB287" s="7"/>
      <c r="CC287" s="7"/>
    </row>
    <row r="288" spans="1:81" ht="12" customHeight="1" x14ac:dyDescent="0.3">
      <c r="A288" s="7"/>
      <c r="B288" s="7"/>
      <c r="C288" s="1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8"/>
      <c r="BX288" s="7"/>
      <c r="BY288" s="7"/>
      <c r="BZ288" s="7"/>
      <c r="CA288" s="7"/>
      <c r="CB288" s="7"/>
      <c r="CC288" s="7"/>
    </row>
    <row r="289" spans="1:81" ht="12" customHeight="1" x14ac:dyDescent="0.3">
      <c r="A289" s="7"/>
      <c r="B289" s="7"/>
      <c r="C289" s="1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8"/>
      <c r="BX289" s="7"/>
      <c r="BY289" s="7"/>
      <c r="BZ289" s="7"/>
      <c r="CA289" s="7"/>
      <c r="CB289" s="7"/>
      <c r="CC289" s="7"/>
    </row>
    <row r="290" spans="1:81" ht="12" customHeight="1" x14ac:dyDescent="0.3">
      <c r="A290" s="7"/>
      <c r="B290" s="7"/>
      <c r="C290" s="1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8"/>
      <c r="BX290" s="7"/>
      <c r="BY290" s="7"/>
      <c r="BZ290" s="7"/>
      <c r="CA290" s="7"/>
      <c r="CB290" s="7"/>
      <c r="CC290" s="7"/>
    </row>
    <row r="291" spans="1:81" ht="12" customHeight="1" x14ac:dyDescent="0.3">
      <c r="A291" s="7"/>
      <c r="B291" s="7"/>
      <c r="C291" s="1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8"/>
      <c r="BX291" s="7"/>
      <c r="BY291" s="7"/>
      <c r="BZ291" s="7"/>
      <c r="CA291" s="7"/>
      <c r="CB291" s="7"/>
      <c r="CC291" s="7"/>
    </row>
    <row r="292" spans="1:81" ht="12" customHeight="1" x14ac:dyDescent="0.3">
      <c r="A292" s="7"/>
      <c r="B292" s="7"/>
      <c r="C292" s="1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8"/>
      <c r="BX292" s="7"/>
      <c r="BY292" s="7"/>
      <c r="BZ292" s="7"/>
      <c r="CA292" s="7"/>
      <c r="CB292" s="7"/>
      <c r="CC292" s="7"/>
    </row>
    <row r="293" spans="1:81" ht="12" customHeight="1" x14ac:dyDescent="0.3">
      <c r="A293" s="7"/>
      <c r="B293" s="7"/>
      <c r="C293" s="1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8"/>
      <c r="BX293" s="7"/>
      <c r="BY293" s="7"/>
      <c r="BZ293" s="7"/>
      <c r="CA293" s="7"/>
      <c r="CB293" s="7"/>
      <c r="CC293" s="7"/>
    </row>
    <row r="294" spans="1:81" ht="12" customHeight="1" x14ac:dyDescent="0.3">
      <c r="A294" s="7"/>
      <c r="B294" s="7"/>
      <c r="C294" s="1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8"/>
      <c r="BX294" s="7"/>
      <c r="BY294" s="7"/>
      <c r="BZ294" s="7"/>
      <c r="CA294" s="7"/>
      <c r="CB294" s="7"/>
      <c r="CC294" s="7"/>
    </row>
    <row r="295" spans="1:81" ht="12" customHeight="1" x14ac:dyDescent="0.3">
      <c r="A295" s="7"/>
      <c r="B295" s="7"/>
      <c r="C295" s="1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8"/>
      <c r="BX295" s="7"/>
      <c r="BY295" s="7"/>
      <c r="BZ295" s="7"/>
      <c r="CA295" s="7"/>
      <c r="CB295" s="7"/>
      <c r="CC295" s="7"/>
    </row>
    <row r="296" spans="1:81" ht="12" customHeight="1" x14ac:dyDescent="0.3">
      <c r="A296" s="7"/>
      <c r="B296" s="7"/>
      <c r="C296" s="1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8"/>
      <c r="BX296" s="7"/>
      <c r="BY296" s="7"/>
      <c r="BZ296" s="7"/>
      <c r="CA296" s="7"/>
      <c r="CB296" s="7"/>
      <c r="CC296" s="7"/>
    </row>
    <row r="297" spans="1:81" ht="12" customHeight="1" x14ac:dyDescent="0.3">
      <c r="A297" s="7"/>
      <c r="B297" s="7"/>
      <c r="C297" s="1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8"/>
      <c r="BX297" s="7"/>
      <c r="BY297" s="7"/>
      <c r="BZ297" s="7"/>
      <c r="CA297" s="7"/>
      <c r="CB297" s="7"/>
      <c r="CC297" s="7"/>
    </row>
    <row r="298" spans="1:81" ht="12" customHeight="1" x14ac:dyDescent="0.3">
      <c r="A298" s="7"/>
      <c r="B298" s="7"/>
      <c r="C298" s="1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8"/>
      <c r="BX298" s="7"/>
      <c r="BY298" s="7"/>
      <c r="BZ298" s="7"/>
      <c r="CA298" s="7"/>
      <c r="CB298" s="7"/>
      <c r="CC298" s="7"/>
    </row>
    <row r="299" spans="1:81" ht="12" customHeight="1" x14ac:dyDescent="0.3">
      <c r="A299" s="7"/>
      <c r="B299" s="7"/>
      <c r="C299" s="1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8"/>
      <c r="BX299" s="7"/>
      <c r="BY299" s="7"/>
      <c r="BZ299" s="7"/>
      <c r="CA299" s="7"/>
      <c r="CB299" s="7"/>
      <c r="CC299" s="7"/>
    </row>
    <row r="300" spans="1:81" ht="12" customHeight="1" x14ac:dyDescent="0.3">
      <c r="A300" s="7"/>
      <c r="B300" s="7"/>
      <c r="C300" s="1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8"/>
      <c r="BX300" s="7"/>
      <c r="BY300" s="7"/>
      <c r="BZ300" s="7"/>
      <c r="CA300" s="7"/>
      <c r="CB300" s="7"/>
      <c r="CC300" s="7"/>
    </row>
    <row r="301" spans="1:81" ht="12" customHeight="1" x14ac:dyDescent="0.3">
      <c r="A301" s="7"/>
      <c r="B301" s="7"/>
      <c r="C301" s="1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8"/>
      <c r="BX301" s="7"/>
      <c r="BY301" s="7"/>
      <c r="BZ301" s="7"/>
      <c r="CA301" s="7"/>
      <c r="CB301" s="7"/>
      <c r="CC301" s="7"/>
    </row>
    <row r="302" spans="1:81" ht="12" customHeight="1" x14ac:dyDescent="0.3">
      <c r="A302" s="7"/>
      <c r="B302" s="7"/>
      <c r="C302" s="1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8"/>
      <c r="BX302" s="7"/>
      <c r="BY302" s="7"/>
      <c r="BZ302" s="7"/>
      <c r="CA302" s="7"/>
      <c r="CB302" s="7"/>
      <c r="CC302" s="7"/>
    </row>
    <row r="303" spans="1:81" ht="12" customHeight="1" x14ac:dyDescent="0.3">
      <c r="A303" s="7"/>
      <c r="B303" s="7"/>
      <c r="C303" s="1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8"/>
      <c r="BX303" s="7"/>
      <c r="BY303" s="7"/>
      <c r="BZ303" s="7"/>
      <c r="CA303" s="7"/>
      <c r="CB303" s="7"/>
      <c r="CC303" s="7"/>
    </row>
    <row r="304" spans="1:81" ht="12" customHeight="1" x14ac:dyDescent="0.3">
      <c r="A304" s="7"/>
      <c r="B304" s="7"/>
      <c r="C304" s="1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8"/>
      <c r="BX304" s="7"/>
      <c r="BY304" s="7"/>
      <c r="BZ304" s="7"/>
      <c r="CA304" s="7"/>
      <c r="CB304" s="7"/>
      <c r="CC304" s="7"/>
    </row>
    <row r="305" spans="1:81" ht="12" customHeight="1" x14ac:dyDescent="0.3">
      <c r="A305" s="7"/>
      <c r="B305" s="7"/>
      <c r="C305" s="1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8"/>
      <c r="BX305" s="7"/>
      <c r="BY305" s="7"/>
      <c r="BZ305" s="7"/>
      <c r="CA305" s="7"/>
      <c r="CB305" s="7"/>
      <c r="CC305" s="7"/>
    </row>
    <row r="306" spans="1:81" ht="12" customHeight="1" x14ac:dyDescent="0.3">
      <c r="A306" s="7"/>
      <c r="B306" s="7"/>
      <c r="C306" s="1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8"/>
      <c r="BX306" s="7"/>
      <c r="BY306" s="7"/>
      <c r="BZ306" s="7"/>
      <c r="CA306" s="7"/>
      <c r="CB306" s="7"/>
      <c r="CC306" s="7"/>
    </row>
    <row r="307" spans="1:81" ht="12" customHeight="1" x14ac:dyDescent="0.3">
      <c r="A307" s="7"/>
      <c r="B307" s="7"/>
      <c r="C307" s="1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8"/>
      <c r="BX307" s="7"/>
      <c r="BY307" s="7"/>
      <c r="BZ307" s="7"/>
      <c r="CA307" s="7"/>
      <c r="CB307" s="7"/>
      <c r="CC307" s="7"/>
    </row>
    <row r="308" spans="1:81" ht="12" customHeight="1" x14ac:dyDescent="0.3">
      <c r="A308" s="7"/>
      <c r="B308" s="7"/>
      <c r="C308" s="1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8"/>
      <c r="BX308" s="7"/>
      <c r="BY308" s="7"/>
      <c r="BZ308" s="7"/>
      <c r="CA308" s="7"/>
      <c r="CB308" s="7"/>
      <c r="CC308" s="7"/>
    </row>
    <row r="309" spans="1:81" ht="12" customHeight="1" x14ac:dyDescent="0.3">
      <c r="A309" s="7"/>
      <c r="B309" s="7"/>
      <c r="C309" s="1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8"/>
      <c r="BX309" s="7"/>
      <c r="BY309" s="7"/>
      <c r="BZ309" s="7"/>
      <c r="CA309" s="7"/>
      <c r="CB309" s="7"/>
      <c r="CC309" s="7"/>
    </row>
    <row r="310" spans="1:81" ht="12" customHeight="1" x14ac:dyDescent="0.3">
      <c r="A310" s="7"/>
      <c r="B310" s="7"/>
      <c r="C310" s="1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8"/>
      <c r="BX310" s="7"/>
      <c r="BY310" s="7"/>
      <c r="BZ310" s="7"/>
      <c r="CA310" s="7"/>
      <c r="CB310" s="7"/>
      <c r="CC310" s="7"/>
    </row>
    <row r="311" spans="1:81" ht="12" customHeight="1" x14ac:dyDescent="0.3">
      <c r="A311" s="7"/>
      <c r="B311" s="7"/>
      <c r="C311" s="1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8"/>
      <c r="BX311" s="7"/>
      <c r="BY311" s="7"/>
      <c r="BZ311" s="7"/>
      <c r="CA311" s="7"/>
      <c r="CB311" s="7"/>
      <c r="CC311" s="7"/>
    </row>
    <row r="312" spans="1:81" ht="12" customHeight="1" x14ac:dyDescent="0.3">
      <c r="A312" s="7"/>
      <c r="B312" s="7"/>
      <c r="C312" s="1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8"/>
      <c r="BX312" s="7"/>
      <c r="BY312" s="7"/>
      <c r="BZ312" s="7"/>
      <c r="CA312" s="7"/>
      <c r="CB312" s="7"/>
      <c r="CC312" s="7"/>
    </row>
    <row r="313" spans="1:81" ht="12" customHeight="1" x14ac:dyDescent="0.3">
      <c r="A313" s="7"/>
      <c r="B313" s="7"/>
      <c r="C313" s="1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8"/>
      <c r="BX313" s="7"/>
      <c r="BY313" s="7"/>
      <c r="BZ313" s="7"/>
      <c r="CA313" s="7"/>
      <c r="CB313" s="7"/>
      <c r="CC313" s="7"/>
    </row>
    <row r="314" spans="1:81" ht="12" customHeight="1" x14ac:dyDescent="0.3">
      <c r="A314" s="7"/>
      <c r="B314" s="7"/>
      <c r="C314" s="1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8"/>
      <c r="BX314" s="7"/>
      <c r="BY314" s="7"/>
      <c r="BZ314" s="7"/>
      <c r="CA314" s="7"/>
      <c r="CB314" s="7"/>
      <c r="CC314" s="7"/>
    </row>
    <row r="315" spans="1:81" ht="12" customHeight="1" x14ac:dyDescent="0.3">
      <c r="A315" s="7"/>
      <c r="B315" s="7"/>
      <c r="C315" s="1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8"/>
      <c r="BX315" s="7"/>
      <c r="BY315" s="7"/>
      <c r="BZ315" s="7"/>
      <c r="CA315" s="7"/>
      <c r="CB315" s="7"/>
      <c r="CC315" s="7"/>
    </row>
    <row r="316" spans="1:81" ht="12" customHeight="1" x14ac:dyDescent="0.3">
      <c r="A316" s="7"/>
      <c r="B316" s="7"/>
      <c r="C316" s="1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8"/>
      <c r="BX316" s="7"/>
      <c r="BY316" s="7"/>
      <c r="BZ316" s="7"/>
      <c r="CA316" s="7"/>
      <c r="CB316" s="7"/>
      <c r="CC316" s="7"/>
    </row>
    <row r="317" spans="1:81" ht="12" customHeight="1" x14ac:dyDescent="0.3">
      <c r="A317" s="7"/>
      <c r="B317" s="7"/>
      <c r="C317" s="1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8"/>
      <c r="BX317" s="7"/>
      <c r="BY317" s="7"/>
      <c r="BZ317" s="7"/>
      <c r="CA317" s="7"/>
      <c r="CB317" s="7"/>
      <c r="CC317" s="7"/>
    </row>
    <row r="318" spans="1:81" ht="12" customHeight="1" x14ac:dyDescent="0.3">
      <c r="A318" s="7"/>
      <c r="B318" s="7"/>
      <c r="C318" s="1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8"/>
      <c r="BX318" s="7"/>
      <c r="BY318" s="7"/>
      <c r="BZ318" s="7"/>
      <c r="CA318" s="7"/>
      <c r="CB318" s="7"/>
      <c r="CC318" s="7"/>
    </row>
    <row r="319" spans="1:81" ht="12" customHeight="1" x14ac:dyDescent="0.3">
      <c r="A319" s="7"/>
      <c r="B319" s="7"/>
      <c r="C319" s="1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8"/>
      <c r="BX319" s="7"/>
      <c r="BY319" s="7"/>
      <c r="BZ319" s="7"/>
      <c r="CA319" s="7"/>
      <c r="CB319" s="7"/>
      <c r="CC319" s="7"/>
    </row>
    <row r="320" spans="1:81" ht="12" customHeight="1" x14ac:dyDescent="0.3">
      <c r="A320" s="7"/>
      <c r="B320" s="7"/>
      <c r="C320" s="1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8"/>
      <c r="BX320" s="7"/>
      <c r="BY320" s="7"/>
      <c r="BZ320" s="7"/>
      <c r="CA320" s="7"/>
      <c r="CB320" s="7"/>
      <c r="CC320" s="7"/>
    </row>
    <row r="321" spans="1:81" ht="12" customHeight="1" x14ac:dyDescent="0.3">
      <c r="A321" s="7"/>
      <c r="B321" s="7"/>
      <c r="C321" s="1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8"/>
      <c r="BX321" s="7"/>
      <c r="BY321" s="7"/>
      <c r="BZ321" s="7"/>
      <c r="CA321" s="7"/>
      <c r="CB321" s="7"/>
      <c r="CC321" s="7"/>
    </row>
    <row r="322" spans="1:81" ht="12" customHeight="1" x14ac:dyDescent="0.3">
      <c r="A322" s="7"/>
      <c r="B322" s="7"/>
      <c r="C322" s="1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8"/>
      <c r="BX322" s="7"/>
      <c r="BY322" s="7"/>
      <c r="BZ322" s="7"/>
      <c r="CA322" s="7"/>
      <c r="CB322" s="7"/>
      <c r="CC322" s="7"/>
    </row>
    <row r="323" spans="1:81" ht="12" customHeight="1" x14ac:dyDescent="0.3">
      <c r="A323" s="7"/>
      <c r="B323" s="7"/>
      <c r="C323" s="1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8"/>
      <c r="BX323" s="7"/>
      <c r="BY323" s="7"/>
      <c r="BZ323" s="7"/>
      <c r="CA323" s="7"/>
      <c r="CB323" s="7"/>
      <c r="CC323" s="7"/>
    </row>
    <row r="324" spans="1:81" ht="12" customHeight="1" x14ac:dyDescent="0.3">
      <c r="A324" s="7"/>
      <c r="B324" s="7"/>
      <c r="C324" s="1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8"/>
      <c r="BX324" s="7"/>
      <c r="BY324" s="7"/>
      <c r="BZ324" s="7"/>
      <c r="CA324" s="7"/>
      <c r="CB324" s="7"/>
      <c r="CC324" s="7"/>
    </row>
    <row r="325" spans="1:81" ht="12" customHeight="1" x14ac:dyDescent="0.3">
      <c r="A325" s="7"/>
      <c r="B325" s="7"/>
      <c r="C325" s="1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8"/>
      <c r="BX325" s="7"/>
      <c r="BY325" s="7"/>
      <c r="BZ325" s="7"/>
      <c r="CA325" s="7"/>
      <c r="CB325" s="7"/>
      <c r="CC325" s="7"/>
    </row>
    <row r="326" spans="1:81" ht="12" customHeight="1" x14ac:dyDescent="0.3">
      <c r="A326" s="7"/>
      <c r="B326" s="7"/>
      <c r="C326" s="1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8"/>
      <c r="BX326" s="7"/>
      <c r="BY326" s="7"/>
      <c r="BZ326" s="7"/>
      <c r="CA326" s="7"/>
      <c r="CB326" s="7"/>
      <c r="CC326" s="7"/>
    </row>
    <row r="327" spans="1:81" ht="12" customHeight="1" x14ac:dyDescent="0.3">
      <c r="A327" s="7"/>
      <c r="B327" s="7"/>
      <c r="C327" s="1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8"/>
      <c r="BX327" s="7"/>
      <c r="BY327" s="7"/>
      <c r="BZ327" s="7"/>
      <c r="CA327" s="7"/>
      <c r="CB327" s="7"/>
      <c r="CC327" s="7"/>
    </row>
    <row r="328" spans="1:81" ht="12" customHeight="1" x14ac:dyDescent="0.3">
      <c r="A328" s="7"/>
      <c r="B328" s="7"/>
      <c r="C328" s="1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8"/>
      <c r="BX328" s="7"/>
      <c r="BY328" s="7"/>
      <c r="BZ328" s="7"/>
      <c r="CA328" s="7"/>
      <c r="CB328" s="7"/>
      <c r="CC328" s="7"/>
    </row>
    <row r="329" spans="1:81" ht="12" customHeight="1" x14ac:dyDescent="0.3">
      <c r="A329" s="7"/>
      <c r="B329" s="7"/>
      <c r="C329" s="1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8"/>
      <c r="BX329" s="7"/>
      <c r="BY329" s="7"/>
      <c r="BZ329" s="7"/>
      <c r="CA329" s="7"/>
      <c r="CB329" s="7"/>
      <c r="CC329" s="7"/>
    </row>
    <row r="330" spans="1:81" ht="12" customHeight="1" x14ac:dyDescent="0.3">
      <c r="A330" s="7"/>
      <c r="B330" s="7"/>
      <c r="C330" s="1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8"/>
      <c r="BX330" s="7"/>
      <c r="BY330" s="7"/>
      <c r="BZ330" s="7"/>
      <c r="CA330" s="7"/>
      <c r="CB330" s="7"/>
      <c r="CC330" s="7"/>
    </row>
    <row r="331" spans="1:81" ht="12" customHeight="1" x14ac:dyDescent="0.3">
      <c r="A331" s="7"/>
      <c r="B331" s="7"/>
      <c r="C331" s="1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8"/>
      <c r="BX331" s="7"/>
      <c r="BY331" s="7"/>
      <c r="BZ331" s="7"/>
      <c r="CA331" s="7"/>
      <c r="CB331" s="7"/>
      <c r="CC331" s="7"/>
    </row>
    <row r="332" spans="1:81" ht="12" customHeight="1" x14ac:dyDescent="0.3">
      <c r="A332" s="7"/>
      <c r="B332" s="7"/>
      <c r="C332" s="1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8"/>
      <c r="BX332" s="7"/>
      <c r="BY332" s="7"/>
      <c r="BZ332" s="7"/>
      <c r="CA332" s="7"/>
      <c r="CB332" s="7"/>
      <c r="CC332" s="7"/>
    </row>
    <row r="333" spans="1:81" ht="12" customHeight="1" x14ac:dyDescent="0.3">
      <c r="A333" s="7"/>
      <c r="B333" s="7"/>
      <c r="C333" s="1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8"/>
      <c r="BX333" s="7"/>
      <c r="BY333" s="7"/>
      <c r="BZ333" s="7"/>
      <c r="CA333" s="7"/>
      <c r="CB333" s="7"/>
      <c r="CC333" s="7"/>
    </row>
    <row r="334" spans="1:81" ht="12" customHeight="1" x14ac:dyDescent="0.3">
      <c r="A334" s="7"/>
      <c r="B334" s="7"/>
      <c r="C334" s="1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8"/>
      <c r="BX334" s="7"/>
      <c r="BY334" s="7"/>
      <c r="BZ334" s="7"/>
      <c r="CA334" s="7"/>
      <c r="CB334" s="7"/>
      <c r="CC334" s="7"/>
    </row>
    <row r="335" spans="1:81" ht="12" customHeight="1" x14ac:dyDescent="0.3">
      <c r="A335" s="7"/>
      <c r="B335" s="7"/>
      <c r="C335" s="1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8"/>
      <c r="BX335" s="7"/>
      <c r="BY335" s="7"/>
      <c r="BZ335" s="7"/>
      <c r="CA335" s="7"/>
      <c r="CB335" s="7"/>
      <c r="CC335" s="7"/>
    </row>
    <row r="336" spans="1:81" ht="12" customHeight="1" x14ac:dyDescent="0.3">
      <c r="A336" s="7"/>
      <c r="B336" s="7"/>
      <c r="C336" s="1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8"/>
      <c r="BX336" s="7"/>
      <c r="BY336" s="7"/>
      <c r="BZ336" s="7"/>
      <c r="CA336" s="7"/>
      <c r="CB336" s="7"/>
      <c r="CC336" s="7"/>
    </row>
    <row r="337" spans="1:81" ht="12" customHeight="1" x14ac:dyDescent="0.3">
      <c r="A337" s="7"/>
      <c r="B337" s="7"/>
      <c r="C337" s="1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8"/>
      <c r="BX337" s="7"/>
      <c r="BY337" s="7"/>
      <c r="BZ337" s="7"/>
      <c r="CA337" s="7"/>
      <c r="CB337" s="7"/>
      <c r="CC337" s="7"/>
    </row>
    <row r="338" spans="1:81" ht="12" customHeight="1" x14ac:dyDescent="0.3">
      <c r="A338" s="7"/>
      <c r="B338" s="7"/>
      <c r="C338" s="1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8"/>
      <c r="BX338" s="7"/>
      <c r="BY338" s="7"/>
      <c r="BZ338" s="7"/>
      <c r="CA338" s="7"/>
      <c r="CB338" s="7"/>
      <c r="CC338" s="7"/>
    </row>
    <row r="339" spans="1:81" ht="12" customHeight="1" x14ac:dyDescent="0.3">
      <c r="A339" s="7"/>
      <c r="B339" s="7"/>
      <c r="C339" s="1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8"/>
      <c r="BX339" s="7"/>
      <c r="BY339" s="7"/>
      <c r="BZ339" s="7"/>
      <c r="CA339" s="7"/>
      <c r="CB339" s="7"/>
      <c r="CC339" s="7"/>
    </row>
    <row r="340" spans="1:81" ht="12" customHeight="1" x14ac:dyDescent="0.3">
      <c r="A340" s="7"/>
      <c r="B340" s="7"/>
      <c r="C340" s="1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8"/>
      <c r="BX340" s="7"/>
      <c r="BY340" s="7"/>
      <c r="BZ340" s="7"/>
      <c r="CA340" s="7"/>
      <c r="CB340" s="7"/>
      <c r="CC340" s="7"/>
    </row>
    <row r="341" spans="1:81" ht="12" customHeight="1" x14ac:dyDescent="0.3">
      <c r="A341" s="7"/>
      <c r="B341" s="7"/>
      <c r="C341" s="1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8"/>
      <c r="BX341" s="7"/>
      <c r="BY341" s="7"/>
      <c r="BZ341" s="7"/>
      <c r="CA341" s="7"/>
      <c r="CB341" s="7"/>
      <c r="CC341" s="7"/>
    </row>
    <row r="342" spans="1:81" ht="12" customHeight="1" x14ac:dyDescent="0.3">
      <c r="A342" s="7"/>
      <c r="B342" s="7"/>
      <c r="C342" s="1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8"/>
      <c r="BX342" s="7"/>
      <c r="BY342" s="7"/>
      <c r="BZ342" s="7"/>
      <c r="CA342" s="7"/>
      <c r="CB342" s="7"/>
      <c r="CC342" s="7"/>
    </row>
    <row r="343" spans="1:81" ht="12" customHeight="1" x14ac:dyDescent="0.3">
      <c r="A343" s="7"/>
      <c r="B343" s="7"/>
      <c r="C343" s="1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8"/>
      <c r="BX343" s="7"/>
      <c r="BY343" s="7"/>
      <c r="BZ343" s="7"/>
      <c r="CA343" s="7"/>
      <c r="CB343" s="7"/>
      <c r="CC343" s="7"/>
    </row>
    <row r="344" spans="1:81" ht="12" customHeight="1" x14ac:dyDescent="0.3">
      <c r="A344" s="7"/>
      <c r="B344" s="7"/>
      <c r="C344" s="1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8"/>
      <c r="BX344" s="7"/>
      <c r="BY344" s="7"/>
      <c r="BZ344" s="7"/>
      <c r="CA344" s="7"/>
      <c r="CB344" s="7"/>
      <c r="CC344" s="7"/>
    </row>
    <row r="345" spans="1:81" ht="12" customHeight="1" x14ac:dyDescent="0.3">
      <c r="A345" s="7"/>
      <c r="B345" s="7"/>
      <c r="C345" s="1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8"/>
      <c r="BX345" s="7"/>
      <c r="BY345" s="7"/>
      <c r="BZ345" s="7"/>
      <c r="CA345" s="7"/>
      <c r="CB345" s="7"/>
      <c r="CC345" s="7"/>
    </row>
    <row r="346" spans="1:81" ht="12" customHeight="1" x14ac:dyDescent="0.3">
      <c r="A346" s="7"/>
      <c r="B346" s="7"/>
      <c r="C346" s="1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8"/>
      <c r="BX346" s="7"/>
      <c r="BY346" s="7"/>
      <c r="BZ346" s="7"/>
      <c r="CA346" s="7"/>
      <c r="CB346" s="7"/>
      <c r="CC346" s="7"/>
    </row>
    <row r="347" spans="1:81" ht="12" customHeight="1" x14ac:dyDescent="0.3">
      <c r="A347" s="7"/>
      <c r="B347" s="7"/>
      <c r="C347" s="1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8"/>
      <c r="BX347" s="7"/>
      <c r="BY347" s="7"/>
      <c r="BZ347" s="7"/>
      <c r="CA347" s="7"/>
      <c r="CB347" s="7"/>
      <c r="CC347" s="7"/>
    </row>
    <row r="348" spans="1:81" ht="12" customHeight="1" x14ac:dyDescent="0.3">
      <c r="A348" s="7"/>
      <c r="B348" s="7"/>
      <c r="C348" s="1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8"/>
      <c r="BX348" s="7"/>
      <c r="BY348" s="7"/>
      <c r="BZ348" s="7"/>
      <c r="CA348" s="7"/>
      <c r="CB348" s="7"/>
      <c r="CC348" s="7"/>
    </row>
    <row r="349" spans="1:81" ht="12" customHeight="1" x14ac:dyDescent="0.3">
      <c r="A349" s="7"/>
      <c r="B349" s="7"/>
      <c r="C349" s="1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8"/>
      <c r="BX349" s="7"/>
      <c r="BY349" s="7"/>
      <c r="BZ349" s="7"/>
      <c r="CA349" s="7"/>
      <c r="CB349" s="7"/>
      <c r="CC349" s="7"/>
    </row>
    <row r="350" spans="1:81" ht="12" customHeight="1" x14ac:dyDescent="0.3">
      <c r="A350" s="7"/>
      <c r="B350" s="7"/>
      <c r="C350" s="11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8"/>
      <c r="BX350" s="7"/>
      <c r="BY350" s="7"/>
      <c r="BZ350" s="7"/>
      <c r="CA350" s="7"/>
      <c r="CB350" s="7"/>
      <c r="CC350" s="7"/>
    </row>
    <row r="351" spans="1:81" ht="12" customHeight="1" x14ac:dyDescent="0.3">
      <c r="A351" s="7"/>
      <c r="B351" s="7"/>
      <c r="C351" s="11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8"/>
      <c r="BX351" s="7"/>
      <c r="BY351" s="7"/>
      <c r="BZ351" s="7"/>
      <c r="CA351" s="7"/>
      <c r="CB351" s="7"/>
      <c r="CC351" s="7"/>
    </row>
    <row r="352" spans="1:81" ht="12" customHeight="1" x14ac:dyDescent="0.3">
      <c r="A352" s="7"/>
      <c r="B352" s="7"/>
      <c r="C352" s="11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8"/>
      <c r="BX352" s="7"/>
      <c r="BY352" s="7"/>
      <c r="BZ352" s="7"/>
      <c r="CA352" s="7"/>
      <c r="CB352" s="7"/>
      <c r="CC352" s="7"/>
    </row>
    <row r="353" spans="1:81" ht="12" customHeight="1" x14ac:dyDescent="0.3">
      <c r="A353" s="7"/>
      <c r="B353" s="7"/>
      <c r="C353" s="11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8"/>
      <c r="BX353" s="7"/>
      <c r="BY353" s="7"/>
      <c r="BZ353" s="7"/>
      <c r="CA353" s="7"/>
      <c r="CB353" s="7"/>
      <c r="CC353" s="7"/>
    </row>
    <row r="354" spans="1:81" ht="12" customHeight="1" x14ac:dyDescent="0.3">
      <c r="A354" s="7"/>
      <c r="B354" s="7"/>
      <c r="C354" s="11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8"/>
      <c r="BX354" s="7"/>
      <c r="BY354" s="7"/>
      <c r="BZ354" s="7"/>
      <c r="CA354" s="7"/>
      <c r="CB354" s="7"/>
      <c r="CC354" s="7"/>
    </row>
    <row r="355" spans="1:81" ht="12" customHeight="1" x14ac:dyDescent="0.3">
      <c r="A355" s="7"/>
      <c r="B355" s="7"/>
      <c r="C355" s="11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8"/>
      <c r="BX355" s="7"/>
      <c r="BY355" s="7"/>
      <c r="BZ355" s="7"/>
      <c r="CA355" s="7"/>
      <c r="CB355" s="7"/>
      <c r="CC355" s="7"/>
    </row>
    <row r="356" spans="1:81" ht="12" customHeight="1" x14ac:dyDescent="0.3">
      <c r="A356" s="7"/>
      <c r="B356" s="7"/>
      <c r="C356" s="11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8"/>
      <c r="BX356" s="7"/>
      <c r="BY356" s="7"/>
      <c r="BZ356" s="7"/>
      <c r="CA356" s="7"/>
      <c r="CB356" s="7"/>
      <c r="CC356" s="7"/>
    </row>
    <row r="357" spans="1:81" ht="12" customHeight="1" x14ac:dyDescent="0.3">
      <c r="A357" s="7"/>
      <c r="B357" s="7"/>
      <c r="C357" s="11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8"/>
      <c r="BX357" s="7"/>
      <c r="BY357" s="7"/>
      <c r="BZ357" s="7"/>
      <c r="CA357" s="7"/>
      <c r="CB357" s="7"/>
      <c r="CC357" s="7"/>
    </row>
    <row r="358" spans="1:81" ht="12" customHeight="1" x14ac:dyDescent="0.3">
      <c r="A358" s="7"/>
      <c r="B358" s="7"/>
      <c r="C358" s="11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8"/>
      <c r="BX358" s="7"/>
      <c r="BY358" s="7"/>
      <c r="BZ358" s="7"/>
      <c r="CA358" s="7"/>
      <c r="CB358" s="7"/>
      <c r="CC358" s="7"/>
    </row>
    <row r="359" spans="1:81" ht="12" customHeight="1" x14ac:dyDescent="0.3">
      <c r="A359" s="7"/>
      <c r="B359" s="7"/>
      <c r="C359" s="11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8"/>
      <c r="BX359" s="7"/>
      <c r="BY359" s="7"/>
      <c r="BZ359" s="7"/>
      <c r="CA359" s="7"/>
      <c r="CB359" s="7"/>
      <c r="CC359" s="7"/>
    </row>
    <row r="360" spans="1:81" ht="12" customHeight="1" x14ac:dyDescent="0.3">
      <c r="A360" s="7"/>
      <c r="B360" s="7"/>
      <c r="C360" s="11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8"/>
      <c r="BX360" s="7"/>
      <c r="BY360" s="7"/>
      <c r="BZ360" s="7"/>
      <c r="CA360" s="7"/>
      <c r="CB360" s="7"/>
      <c r="CC360" s="7"/>
    </row>
    <row r="361" spans="1:81" ht="12" customHeight="1" x14ac:dyDescent="0.3">
      <c r="A361" s="7"/>
      <c r="B361" s="7"/>
      <c r="C361" s="11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8"/>
      <c r="BX361" s="7"/>
      <c r="BY361" s="7"/>
      <c r="BZ361" s="7"/>
      <c r="CA361" s="7"/>
      <c r="CB361" s="7"/>
      <c r="CC361" s="7"/>
    </row>
    <row r="362" spans="1:81" ht="12" customHeight="1" x14ac:dyDescent="0.3">
      <c r="A362" s="7"/>
      <c r="B362" s="7"/>
      <c r="C362" s="11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8"/>
      <c r="BX362" s="7"/>
      <c r="BY362" s="7"/>
      <c r="BZ362" s="7"/>
      <c r="CA362" s="7"/>
      <c r="CB362" s="7"/>
      <c r="CC362" s="7"/>
    </row>
    <row r="363" spans="1:81" ht="12" customHeight="1" x14ac:dyDescent="0.3">
      <c r="A363" s="7"/>
      <c r="B363" s="7"/>
      <c r="C363" s="11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8"/>
      <c r="BX363" s="7"/>
      <c r="BY363" s="7"/>
      <c r="BZ363" s="7"/>
      <c r="CA363" s="7"/>
      <c r="CB363" s="7"/>
      <c r="CC363" s="7"/>
    </row>
    <row r="364" spans="1:81" ht="12" customHeight="1" x14ac:dyDescent="0.3">
      <c r="A364" s="7"/>
      <c r="B364" s="7"/>
      <c r="C364" s="11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8"/>
      <c r="BX364" s="7"/>
      <c r="BY364" s="7"/>
      <c r="BZ364" s="7"/>
      <c r="CA364" s="7"/>
      <c r="CB364" s="7"/>
      <c r="CC364" s="7"/>
    </row>
    <row r="365" spans="1:81" ht="12" customHeight="1" x14ac:dyDescent="0.3">
      <c r="A365" s="7"/>
      <c r="B365" s="7"/>
      <c r="C365" s="11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8"/>
      <c r="BX365" s="7"/>
      <c r="BY365" s="7"/>
      <c r="BZ365" s="7"/>
      <c r="CA365" s="7"/>
      <c r="CB365" s="7"/>
      <c r="CC365" s="7"/>
    </row>
    <row r="366" spans="1:81" ht="12" customHeight="1" x14ac:dyDescent="0.3">
      <c r="A366" s="7"/>
      <c r="B366" s="7"/>
      <c r="C366" s="11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8"/>
      <c r="BX366" s="7"/>
      <c r="BY366" s="7"/>
      <c r="BZ366" s="7"/>
      <c r="CA366" s="7"/>
      <c r="CB366" s="7"/>
      <c r="CC366" s="7"/>
    </row>
    <row r="367" spans="1:81" ht="12" customHeight="1" x14ac:dyDescent="0.3">
      <c r="A367" s="7"/>
      <c r="B367" s="7"/>
      <c r="C367" s="11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8"/>
      <c r="BX367" s="7"/>
      <c r="BY367" s="7"/>
      <c r="BZ367" s="7"/>
      <c r="CA367" s="7"/>
      <c r="CB367" s="7"/>
      <c r="CC367" s="7"/>
    </row>
    <row r="368" spans="1:81" ht="12" customHeight="1" x14ac:dyDescent="0.3">
      <c r="A368" s="7"/>
      <c r="B368" s="7"/>
      <c r="C368" s="11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8"/>
      <c r="BX368" s="7"/>
      <c r="BY368" s="7"/>
      <c r="BZ368" s="7"/>
      <c r="CA368" s="7"/>
      <c r="CB368" s="7"/>
      <c r="CC368" s="7"/>
    </row>
    <row r="369" spans="1:81" ht="12" customHeight="1" x14ac:dyDescent="0.3">
      <c r="A369" s="7"/>
      <c r="B369" s="7"/>
      <c r="C369" s="11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8"/>
      <c r="BX369" s="7"/>
      <c r="BY369" s="7"/>
      <c r="BZ369" s="7"/>
      <c r="CA369" s="7"/>
      <c r="CB369" s="7"/>
      <c r="CC369" s="7"/>
    </row>
    <row r="370" spans="1:81" ht="12" customHeight="1" x14ac:dyDescent="0.3">
      <c r="A370" s="7"/>
      <c r="B370" s="7"/>
      <c r="C370" s="11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8"/>
      <c r="BX370" s="7"/>
      <c r="BY370" s="7"/>
      <c r="BZ370" s="7"/>
      <c r="CA370" s="7"/>
      <c r="CB370" s="7"/>
      <c r="CC370" s="7"/>
    </row>
    <row r="371" spans="1:81" ht="12" customHeight="1" x14ac:dyDescent="0.3">
      <c r="A371" s="7"/>
      <c r="B371" s="7"/>
      <c r="C371" s="11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8"/>
      <c r="BX371" s="7"/>
      <c r="BY371" s="7"/>
      <c r="BZ371" s="7"/>
      <c r="CA371" s="7"/>
      <c r="CB371" s="7"/>
      <c r="CC371" s="7"/>
    </row>
    <row r="372" spans="1:81" ht="12" customHeight="1" x14ac:dyDescent="0.3">
      <c r="A372" s="7"/>
      <c r="B372" s="7"/>
      <c r="C372" s="11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8"/>
      <c r="BX372" s="7"/>
      <c r="BY372" s="7"/>
      <c r="BZ372" s="7"/>
      <c r="CA372" s="7"/>
      <c r="CB372" s="7"/>
      <c r="CC372" s="7"/>
    </row>
    <row r="373" spans="1:81" ht="12" customHeight="1" x14ac:dyDescent="0.3">
      <c r="A373" s="7"/>
      <c r="B373" s="7"/>
      <c r="C373" s="11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8"/>
      <c r="BX373" s="7"/>
      <c r="BY373" s="7"/>
      <c r="BZ373" s="7"/>
      <c r="CA373" s="7"/>
      <c r="CB373" s="7"/>
      <c r="CC373" s="7"/>
    </row>
    <row r="374" spans="1:81" ht="12" customHeight="1" x14ac:dyDescent="0.3">
      <c r="A374" s="7"/>
      <c r="B374" s="7"/>
      <c r="C374" s="11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8"/>
      <c r="BX374" s="7"/>
      <c r="BY374" s="7"/>
      <c r="BZ374" s="7"/>
      <c r="CA374" s="7"/>
      <c r="CB374" s="7"/>
      <c r="CC374" s="7"/>
    </row>
    <row r="375" spans="1:81" ht="12" customHeight="1" x14ac:dyDescent="0.3">
      <c r="A375" s="7"/>
      <c r="B375" s="7"/>
      <c r="C375" s="11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8"/>
      <c r="BX375" s="7"/>
      <c r="BY375" s="7"/>
      <c r="BZ375" s="7"/>
      <c r="CA375" s="7"/>
      <c r="CB375" s="7"/>
      <c r="CC375" s="7"/>
    </row>
    <row r="376" spans="1:81" ht="12" customHeight="1" x14ac:dyDescent="0.3">
      <c r="A376" s="7"/>
      <c r="B376" s="7"/>
      <c r="C376" s="11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8"/>
      <c r="BX376" s="7"/>
      <c r="BY376" s="7"/>
      <c r="BZ376" s="7"/>
      <c r="CA376" s="7"/>
      <c r="CB376" s="7"/>
      <c r="CC376" s="7"/>
    </row>
    <row r="377" spans="1:81" ht="12" customHeight="1" x14ac:dyDescent="0.3">
      <c r="A377" s="7"/>
      <c r="B377" s="7"/>
      <c r="C377" s="11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8"/>
      <c r="BX377" s="7"/>
      <c r="BY377" s="7"/>
      <c r="BZ377" s="7"/>
      <c r="CA377" s="7"/>
      <c r="CB377" s="7"/>
      <c r="CC377" s="7"/>
    </row>
    <row r="378" spans="1:81" ht="12" customHeight="1" x14ac:dyDescent="0.3">
      <c r="A378" s="7"/>
      <c r="B378" s="7"/>
      <c r="C378" s="11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8"/>
      <c r="BX378" s="7"/>
      <c r="BY378" s="7"/>
      <c r="BZ378" s="7"/>
      <c r="CA378" s="7"/>
      <c r="CB378" s="7"/>
      <c r="CC378" s="7"/>
    </row>
    <row r="379" spans="1:81" ht="12" customHeight="1" x14ac:dyDescent="0.3">
      <c r="A379" s="7"/>
      <c r="B379" s="7"/>
      <c r="C379" s="11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8"/>
      <c r="BX379" s="7"/>
      <c r="BY379" s="7"/>
      <c r="BZ379" s="7"/>
      <c r="CA379" s="7"/>
      <c r="CB379" s="7"/>
      <c r="CC379" s="7"/>
    </row>
    <row r="380" spans="1:81" ht="12" customHeight="1" x14ac:dyDescent="0.3">
      <c r="A380" s="7"/>
      <c r="B380" s="7"/>
      <c r="C380" s="11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8"/>
      <c r="BX380" s="7"/>
      <c r="BY380" s="7"/>
      <c r="BZ380" s="7"/>
      <c r="CA380" s="7"/>
      <c r="CB380" s="7"/>
      <c r="CC380" s="7"/>
    </row>
    <row r="381" spans="1:81" ht="12" customHeight="1" x14ac:dyDescent="0.3">
      <c r="A381" s="7"/>
      <c r="B381" s="7"/>
      <c r="C381" s="11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8"/>
      <c r="BX381" s="7"/>
      <c r="BY381" s="7"/>
      <c r="BZ381" s="7"/>
      <c r="CA381" s="7"/>
      <c r="CB381" s="7"/>
      <c r="CC381" s="7"/>
    </row>
    <row r="382" spans="1:81" ht="12" customHeight="1" x14ac:dyDescent="0.3">
      <c r="A382" s="7"/>
      <c r="B382" s="7"/>
      <c r="C382" s="11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8"/>
      <c r="BX382" s="7"/>
      <c r="BY382" s="7"/>
      <c r="BZ382" s="7"/>
      <c r="CA382" s="7"/>
      <c r="CB382" s="7"/>
      <c r="CC382" s="7"/>
    </row>
    <row r="383" spans="1:81" ht="12" customHeight="1" x14ac:dyDescent="0.3">
      <c r="A383" s="7"/>
      <c r="B383" s="7"/>
      <c r="C383" s="11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8"/>
      <c r="BX383" s="7"/>
      <c r="BY383" s="7"/>
      <c r="BZ383" s="7"/>
      <c r="CA383" s="7"/>
      <c r="CB383" s="7"/>
      <c r="CC383" s="7"/>
    </row>
    <row r="384" spans="1:81" ht="12" customHeight="1" x14ac:dyDescent="0.3">
      <c r="A384" s="7"/>
      <c r="B384" s="7"/>
      <c r="C384" s="11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8"/>
      <c r="BX384" s="7"/>
      <c r="BY384" s="7"/>
      <c r="BZ384" s="7"/>
      <c r="CA384" s="7"/>
      <c r="CB384" s="7"/>
      <c r="CC384" s="7"/>
    </row>
    <row r="385" spans="1:81" ht="12" customHeight="1" x14ac:dyDescent="0.3">
      <c r="A385" s="7"/>
      <c r="B385" s="7"/>
      <c r="C385" s="11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8"/>
      <c r="BX385" s="7"/>
      <c r="BY385" s="7"/>
      <c r="BZ385" s="7"/>
      <c r="CA385" s="7"/>
      <c r="CB385" s="7"/>
      <c r="CC385" s="7"/>
    </row>
    <row r="386" spans="1:81" ht="12" customHeight="1" x14ac:dyDescent="0.3">
      <c r="A386" s="7"/>
      <c r="B386" s="7"/>
      <c r="C386" s="11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8"/>
      <c r="BX386" s="7"/>
      <c r="BY386" s="7"/>
      <c r="BZ386" s="7"/>
      <c r="CA386" s="7"/>
      <c r="CB386" s="7"/>
      <c r="CC386" s="7"/>
    </row>
    <row r="387" spans="1:81" ht="12" customHeight="1" x14ac:dyDescent="0.3">
      <c r="A387" s="7"/>
      <c r="B387" s="7"/>
      <c r="C387" s="11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8"/>
      <c r="BX387" s="7"/>
      <c r="BY387" s="7"/>
      <c r="BZ387" s="7"/>
      <c r="CA387" s="7"/>
      <c r="CB387" s="7"/>
      <c r="CC387" s="7"/>
    </row>
    <row r="388" spans="1:81" ht="12" customHeight="1" x14ac:dyDescent="0.3">
      <c r="A388" s="7"/>
      <c r="B388" s="7"/>
      <c r="C388" s="11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8"/>
      <c r="BX388" s="7"/>
      <c r="BY388" s="7"/>
      <c r="BZ388" s="7"/>
      <c r="CA388" s="7"/>
      <c r="CB388" s="7"/>
      <c r="CC388" s="7"/>
    </row>
    <row r="389" spans="1:81" ht="12" customHeight="1" x14ac:dyDescent="0.3">
      <c r="A389" s="7"/>
      <c r="B389" s="7"/>
      <c r="C389" s="11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8"/>
      <c r="BX389" s="7"/>
      <c r="BY389" s="7"/>
      <c r="BZ389" s="7"/>
      <c r="CA389" s="7"/>
      <c r="CB389" s="7"/>
      <c r="CC389" s="7"/>
    </row>
    <row r="390" spans="1:81" ht="12" customHeight="1" x14ac:dyDescent="0.3">
      <c r="A390" s="7"/>
      <c r="B390" s="7"/>
      <c r="C390" s="11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8"/>
      <c r="BX390" s="7"/>
      <c r="BY390" s="7"/>
      <c r="BZ390" s="7"/>
      <c r="CA390" s="7"/>
      <c r="CB390" s="7"/>
      <c r="CC390" s="7"/>
    </row>
    <row r="391" spans="1:81" ht="12" customHeight="1" x14ac:dyDescent="0.3">
      <c r="A391" s="7"/>
      <c r="B391" s="7"/>
      <c r="C391" s="11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8"/>
      <c r="BX391" s="7"/>
      <c r="BY391" s="7"/>
      <c r="BZ391" s="7"/>
      <c r="CA391" s="7"/>
      <c r="CB391" s="7"/>
      <c r="CC391" s="7"/>
    </row>
    <row r="392" spans="1:81" ht="12" customHeight="1" x14ac:dyDescent="0.3">
      <c r="A392" s="7"/>
      <c r="B392" s="7"/>
      <c r="C392" s="11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8"/>
      <c r="BX392" s="7"/>
      <c r="BY392" s="7"/>
      <c r="BZ392" s="7"/>
      <c r="CA392" s="7"/>
      <c r="CB392" s="7"/>
      <c r="CC392" s="7"/>
    </row>
    <row r="393" spans="1:81" ht="12" customHeight="1" x14ac:dyDescent="0.3">
      <c r="A393" s="7"/>
      <c r="B393" s="7"/>
      <c r="C393" s="11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8"/>
      <c r="BX393" s="7"/>
      <c r="BY393" s="7"/>
      <c r="BZ393" s="7"/>
      <c r="CA393" s="7"/>
      <c r="CB393" s="7"/>
      <c r="CC393" s="7"/>
    </row>
    <row r="394" spans="1:81" ht="12" customHeight="1" x14ac:dyDescent="0.3">
      <c r="A394" s="7"/>
      <c r="B394" s="7"/>
      <c r="C394" s="11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8"/>
      <c r="BX394" s="7"/>
      <c r="BY394" s="7"/>
      <c r="BZ394" s="7"/>
      <c r="CA394" s="7"/>
      <c r="CB394" s="7"/>
      <c r="CC394" s="7"/>
    </row>
    <row r="395" spans="1:81" ht="12" customHeight="1" x14ac:dyDescent="0.3">
      <c r="A395" s="7"/>
      <c r="B395" s="7"/>
      <c r="C395" s="11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8"/>
      <c r="BX395" s="7"/>
      <c r="BY395" s="7"/>
      <c r="BZ395" s="7"/>
      <c r="CA395" s="7"/>
      <c r="CB395" s="7"/>
      <c r="CC395" s="7"/>
    </row>
    <row r="396" spans="1:81" ht="12" customHeight="1" x14ac:dyDescent="0.3">
      <c r="A396" s="7"/>
      <c r="B396" s="7"/>
      <c r="C396" s="11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8"/>
      <c r="BX396" s="7"/>
      <c r="BY396" s="7"/>
      <c r="BZ396" s="7"/>
      <c r="CA396" s="7"/>
      <c r="CB396" s="7"/>
      <c r="CC396" s="7"/>
    </row>
    <row r="397" spans="1:81" ht="12" customHeight="1" x14ac:dyDescent="0.3">
      <c r="A397" s="7"/>
      <c r="B397" s="7"/>
      <c r="C397" s="11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8"/>
      <c r="BX397" s="7"/>
      <c r="BY397" s="7"/>
      <c r="BZ397" s="7"/>
      <c r="CA397" s="7"/>
      <c r="CB397" s="7"/>
      <c r="CC397" s="7"/>
    </row>
    <row r="398" spans="1:81" ht="12" customHeight="1" x14ac:dyDescent="0.3">
      <c r="A398" s="7"/>
      <c r="B398" s="7"/>
      <c r="C398" s="11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8"/>
      <c r="BX398" s="7"/>
      <c r="BY398" s="7"/>
      <c r="BZ398" s="7"/>
      <c r="CA398" s="7"/>
      <c r="CB398" s="7"/>
      <c r="CC398" s="7"/>
    </row>
    <row r="399" spans="1:81" ht="12" customHeight="1" x14ac:dyDescent="0.3">
      <c r="A399" s="7"/>
      <c r="B399" s="7"/>
      <c r="C399" s="11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8"/>
      <c r="BX399" s="7"/>
      <c r="BY399" s="7"/>
      <c r="BZ399" s="7"/>
      <c r="CA399" s="7"/>
      <c r="CB399" s="7"/>
      <c r="CC399" s="7"/>
    </row>
    <row r="400" spans="1:81" ht="12" customHeight="1" x14ac:dyDescent="0.3">
      <c r="A400" s="7"/>
      <c r="B400" s="7"/>
      <c r="C400" s="11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8"/>
      <c r="BX400" s="7"/>
      <c r="BY400" s="7"/>
      <c r="BZ400" s="7"/>
      <c r="CA400" s="7"/>
      <c r="CB400" s="7"/>
      <c r="CC400" s="7"/>
    </row>
    <row r="401" spans="1:81" ht="12" customHeight="1" x14ac:dyDescent="0.3">
      <c r="A401" s="7"/>
      <c r="B401" s="7"/>
      <c r="C401" s="11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8"/>
      <c r="BX401" s="7"/>
      <c r="BY401" s="7"/>
      <c r="BZ401" s="7"/>
      <c r="CA401" s="7"/>
      <c r="CB401" s="7"/>
      <c r="CC401" s="7"/>
    </row>
    <row r="402" spans="1:81" ht="12" customHeight="1" x14ac:dyDescent="0.3">
      <c r="A402" s="7"/>
      <c r="B402" s="7"/>
      <c r="C402" s="11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8"/>
      <c r="BX402" s="7"/>
      <c r="BY402" s="7"/>
      <c r="BZ402" s="7"/>
      <c r="CA402" s="7"/>
      <c r="CB402" s="7"/>
      <c r="CC402" s="7"/>
    </row>
    <row r="403" spans="1:81" ht="12" customHeight="1" x14ac:dyDescent="0.3">
      <c r="A403" s="7"/>
      <c r="B403" s="7"/>
      <c r="C403" s="11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8"/>
      <c r="BX403" s="7"/>
      <c r="BY403" s="7"/>
      <c r="BZ403" s="7"/>
      <c r="CA403" s="7"/>
      <c r="CB403" s="7"/>
      <c r="CC403" s="7"/>
    </row>
    <row r="404" spans="1:81" ht="12" customHeight="1" x14ac:dyDescent="0.3">
      <c r="A404" s="7"/>
      <c r="B404" s="7"/>
      <c r="C404" s="11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8"/>
      <c r="BX404" s="7"/>
      <c r="BY404" s="7"/>
      <c r="BZ404" s="7"/>
      <c r="CA404" s="7"/>
      <c r="CB404" s="7"/>
      <c r="CC404" s="7"/>
    </row>
    <row r="405" spans="1:81" ht="12" customHeight="1" x14ac:dyDescent="0.3">
      <c r="A405" s="7"/>
      <c r="B405" s="7"/>
      <c r="C405" s="11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8"/>
      <c r="BX405" s="7"/>
      <c r="BY405" s="7"/>
      <c r="BZ405" s="7"/>
      <c r="CA405" s="7"/>
      <c r="CB405" s="7"/>
      <c r="CC405" s="7"/>
    </row>
    <row r="406" spans="1:81" ht="12" customHeight="1" x14ac:dyDescent="0.3">
      <c r="A406" s="7"/>
      <c r="B406" s="7"/>
      <c r="C406" s="11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8"/>
      <c r="BX406" s="7"/>
      <c r="BY406" s="7"/>
      <c r="BZ406" s="7"/>
      <c r="CA406" s="7"/>
      <c r="CB406" s="7"/>
      <c r="CC406" s="7"/>
    </row>
    <row r="407" spans="1:81" ht="12" customHeight="1" x14ac:dyDescent="0.3">
      <c r="A407" s="7"/>
      <c r="B407" s="7"/>
      <c r="C407" s="11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8"/>
      <c r="BX407" s="7"/>
      <c r="BY407" s="7"/>
      <c r="BZ407" s="7"/>
      <c r="CA407" s="7"/>
      <c r="CB407" s="7"/>
      <c r="CC407" s="7"/>
    </row>
    <row r="408" spans="1:81" ht="12" customHeight="1" x14ac:dyDescent="0.3">
      <c r="A408" s="7"/>
      <c r="B408" s="7"/>
      <c r="C408" s="11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8"/>
      <c r="BX408" s="7"/>
      <c r="BY408" s="7"/>
      <c r="BZ408" s="7"/>
      <c r="CA408" s="7"/>
      <c r="CB408" s="7"/>
      <c r="CC408" s="7"/>
    </row>
    <row r="409" spans="1:81" ht="12" customHeight="1" x14ac:dyDescent="0.3">
      <c r="A409" s="7"/>
      <c r="B409" s="7"/>
      <c r="C409" s="11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8"/>
      <c r="BX409" s="7"/>
      <c r="BY409" s="7"/>
      <c r="BZ409" s="7"/>
      <c r="CA409" s="7"/>
      <c r="CB409" s="7"/>
      <c r="CC409" s="7"/>
    </row>
    <row r="410" spans="1:81" ht="12" customHeight="1" x14ac:dyDescent="0.3">
      <c r="A410" s="7"/>
      <c r="B410" s="7"/>
      <c r="C410" s="11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8"/>
      <c r="BX410" s="7"/>
      <c r="BY410" s="7"/>
      <c r="BZ410" s="7"/>
      <c r="CA410" s="7"/>
      <c r="CB410" s="7"/>
      <c r="CC410" s="7"/>
    </row>
    <row r="411" spans="1:81" ht="12" customHeight="1" x14ac:dyDescent="0.3">
      <c r="A411" s="7"/>
      <c r="B411" s="7"/>
      <c r="C411" s="11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8"/>
      <c r="BX411" s="7"/>
      <c r="BY411" s="7"/>
      <c r="BZ411" s="7"/>
      <c r="CA411" s="7"/>
      <c r="CB411" s="7"/>
      <c r="CC411" s="7"/>
    </row>
    <row r="412" spans="1:81" ht="12" customHeight="1" x14ac:dyDescent="0.3">
      <c r="A412" s="7"/>
      <c r="B412" s="7"/>
      <c r="C412" s="11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8"/>
      <c r="BX412" s="7"/>
      <c r="BY412" s="7"/>
      <c r="BZ412" s="7"/>
      <c r="CA412" s="7"/>
      <c r="CB412" s="7"/>
      <c r="CC412" s="7"/>
    </row>
    <row r="413" spans="1:81" ht="12" customHeight="1" x14ac:dyDescent="0.3">
      <c r="A413" s="7"/>
      <c r="B413" s="7"/>
      <c r="C413" s="11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8"/>
      <c r="BX413" s="7"/>
      <c r="BY413" s="7"/>
      <c r="BZ413" s="7"/>
      <c r="CA413" s="7"/>
      <c r="CB413" s="7"/>
      <c r="CC413" s="7"/>
    </row>
    <row r="414" spans="1:81" ht="12" customHeight="1" x14ac:dyDescent="0.3">
      <c r="A414" s="7"/>
      <c r="B414" s="7"/>
      <c r="C414" s="11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8"/>
      <c r="BX414" s="7"/>
      <c r="BY414" s="7"/>
      <c r="BZ414" s="7"/>
      <c r="CA414" s="7"/>
      <c r="CB414" s="7"/>
      <c r="CC414" s="7"/>
    </row>
    <row r="415" spans="1:81" ht="12" customHeight="1" x14ac:dyDescent="0.3">
      <c r="A415" s="7"/>
      <c r="B415" s="7"/>
      <c r="C415" s="11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8"/>
      <c r="BX415" s="7"/>
      <c r="BY415" s="7"/>
      <c r="BZ415" s="7"/>
      <c r="CA415" s="7"/>
      <c r="CB415" s="7"/>
      <c r="CC415" s="7"/>
    </row>
    <row r="416" spans="1:81" ht="12" customHeight="1" x14ac:dyDescent="0.3">
      <c r="A416" s="7"/>
      <c r="B416" s="7"/>
      <c r="C416" s="11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8"/>
      <c r="BX416" s="7"/>
      <c r="BY416" s="7"/>
      <c r="BZ416" s="7"/>
      <c r="CA416" s="7"/>
      <c r="CB416" s="7"/>
      <c r="CC416" s="7"/>
    </row>
    <row r="417" spans="1:81" ht="12" customHeight="1" x14ac:dyDescent="0.3">
      <c r="A417" s="7"/>
      <c r="B417" s="7"/>
      <c r="C417" s="11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8"/>
      <c r="BX417" s="7"/>
      <c r="BY417" s="7"/>
      <c r="BZ417" s="7"/>
      <c r="CA417" s="7"/>
      <c r="CB417" s="7"/>
      <c r="CC417" s="7"/>
    </row>
    <row r="418" spans="1:81" ht="12" customHeight="1" x14ac:dyDescent="0.3">
      <c r="A418" s="7"/>
      <c r="B418" s="7"/>
      <c r="C418" s="11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8"/>
      <c r="BX418" s="7"/>
      <c r="BY418" s="7"/>
      <c r="BZ418" s="7"/>
      <c r="CA418" s="7"/>
      <c r="CB418" s="7"/>
      <c r="CC418" s="7"/>
    </row>
    <row r="419" spans="1:81" ht="12" customHeight="1" x14ac:dyDescent="0.3">
      <c r="A419" s="7"/>
      <c r="B419" s="7"/>
      <c r="C419" s="11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8"/>
      <c r="BX419" s="7"/>
      <c r="BY419" s="7"/>
      <c r="BZ419" s="7"/>
      <c r="CA419" s="7"/>
      <c r="CB419" s="7"/>
      <c r="CC419" s="7"/>
    </row>
    <row r="420" spans="1:81" ht="12" customHeight="1" x14ac:dyDescent="0.3">
      <c r="A420" s="7"/>
      <c r="B420" s="7"/>
      <c r="C420" s="11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8"/>
      <c r="BX420" s="7"/>
      <c r="BY420" s="7"/>
      <c r="BZ420" s="7"/>
      <c r="CA420" s="7"/>
      <c r="CB420" s="7"/>
      <c r="CC420" s="7"/>
    </row>
    <row r="421" spans="1:81" ht="12" customHeight="1" x14ac:dyDescent="0.3">
      <c r="A421" s="7"/>
      <c r="B421" s="7"/>
      <c r="C421" s="11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8"/>
      <c r="BX421" s="7"/>
      <c r="BY421" s="7"/>
      <c r="BZ421" s="7"/>
      <c r="CA421" s="7"/>
      <c r="CB421" s="7"/>
      <c r="CC421" s="7"/>
    </row>
    <row r="422" spans="1:81" ht="12" customHeight="1" x14ac:dyDescent="0.3">
      <c r="A422" s="7"/>
      <c r="B422" s="7"/>
      <c r="C422" s="11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8"/>
      <c r="BX422" s="7"/>
      <c r="BY422" s="7"/>
      <c r="BZ422" s="7"/>
      <c r="CA422" s="7"/>
      <c r="CB422" s="7"/>
      <c r="CC422" s="7"/>
    </row>
    <row r="423" spans="1:81" ht="12" customHeight="1" x14ac:dyDescent="0.3">
      <c r="A423" s="7"/>
      <c r="B423" s="7"/>
      <c r="C423" s="11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8"/>
      <c r="BX423" s="7"/>
      <c r="BY423" s="7"/>
      <c r="BZ423" s="7"/>
      <c r="CA423" s="7"/>
      <c r="CB423" s="7"/>
      <c r="CC423" s="7"/>
    </row>
    <row r="424" spans="1:81" ht="12" customHeight="1" x14ac:dyDescent="0.3">
      <c r="A424" s="7"/>
      <c r="B424" s="7"/>
      <c r="C424" s="11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8"/>
      <c r="BX424" s="7"/>
      <c r="BY424" s="7"/>
      <c r="BZ424" s="7"/>
      <c r="CA424" s="7"/>
      <c r="CB424" s="7"/>
      <c r="CC424" s="7"/>
    </row>
    <row r="425" spans="1:81" ht="12" customHeight="1" x14ac:dyDescent="0.3">
      <c r="A425" s="7"/>
      <c r="B425" s="7"/>
      <c r="C425" s="11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8"/>
      <c r="BX425" s="7"/>
      <c r="BY425" s="7"/>
      <c r="BZ425" s="7"/>
      <c r="CA425" s="7"/>
      <c r="CB425" s="7"/>
      <c r="CC425" s="7"/>
    </row>
    <row r="426" spans="1:81" ht="12" customHeight="1" x14ac:dyDescent="0.3">
      <c r="A426" s="7"/>
      <c r="B426" s="7"/>
      <c r="C426" s="11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8"/>
      <c r="BX426" s="7"/>
      <c r="BY426" s="7"/>
      <c r="BZ426" s="7"/>
      <c r="CA426" s="7"/>
      <c r="CB426" s="7"/>
      <c r="CC426" s="7"/>
    </row>
    <row r="427" spans="1:81" ht="12" customHeight="1" x14ac:dyDescent="0.3">
      <c r="A427" s="7"/>
      <c r="B427" s="7"/>
      <c r="C427" s="11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8"/>
      <c r="BX427" s="7"/>
      <c r="BY427" s="7"/>
      <c r="BZ427" s="7"/>
      <c r="CA427" s="7"/>
      <c r="CB427" s="7"/>
      <c r="CC427" s="7"/>
    </row>
    <row r="428" spans="1:81" ht="12" customHeight="1" x14ac:dyDescent="0.3">
      <c r="A428" s="7"/>
      <c r="B428" s="7"/>
      <c r="C428" s="11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8"/>
      <c r="BX428" s="7"/>
      <c r="BY428" s="7"/>
      <c r="BZ428" s="7"/>
      <c r="CA428" s="7"/>
      <c r="CB428" s="7"/>
      <c r="CC428" s="7"/>
    </row>
    <row r="429" spans="1:81" ht="12" customHeight="1" x14ac:dyDescent="0.3">
      <c r="A429" s="7"/>
      <c r="B429" s="7"/>
      <c r="C429" s="11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8"/>
      <c r="BX429" s="7"/>
      <c r="BY429" s="7"/>
      <c r="BZ429" s="7"/>
      <c r="CA429" s="7"/>
      <c r="CB429" s="7"/>
      <c r="CC429" s="7"/>
    </row>
    <row r="430" spans="1:81" ht="12" customHeight="1" x14ac:dyDescent="0.3">
      <c r="A430" s="7"/>
      <c r="B430" s="7"/>
      <c r="C430" s="11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8"/>
      <c r="BX430" s="7"/>
      <c r="BY430" s="7"/>
      <c r="BZ430" s="7"/>
      <c r="CA430" s="7"/>
      <c r="CB430" s="7"/>
      <c r="CC430" s="7"/>
    </row>
    <row r="431" spans="1:81" ht="12" customHeight="1" x14ac:dyDescent="0.3">
      <c r="A431" s="7"/>
      <c r="B431" s="7"/>
      <c r="C431" s="11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8"/>
      <c r="BX431" s="7"/>
      <c r="BY431" s="7"/>
      <c r="BZ431" s="7"/>
      <c r="CA431" s="7"/>
      <c r="CB431" s="7"/>
      <c r="CC431" s="7"/>
    </row>
    <row r="432" spans="1:81" ht="12" customHeight="1" x14ac:dyDescent="0.3">
      <c r="A432" s="7"/>
      <c r="B432" s="7"/>
      <c r="C432" s="11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8"/>
      <c r="BX432" s="7"/>
      <c r="BY432" s="7"/>
      <c r="BZ432" s="7"/>
      <c r="CA432" s="7"/>
      <c r="CB432" s="7"/>
      <c r="CC432" s="7"/>
    </row>
    <row r="433" spans="1:81" ht="12" customHeight="1" x14ac:dyDescent="0.3">
      <c r="A433" s="7"/>
      <c r="B433" s="7"/>
      <c r="C433" s="11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8"/>
      <c r="BX433" s="7"/>
      <c r="BY433" s="7"/>
      <c r="BZ433" s="7"/>
      <c r="CA433" s="7"/>
      <c r="CB433" s="7"/>
      <c r="CC433" s="7"/>
    </row>
    <row r="434" spans="1:81" ht="12" customHeight="1" x14ac:dyDescent="0.3">
      <c r="A434" s="7"/>
      <c r="B434" s="7"/>
      <c r="C434" s="11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8"/>
      <c r="BX434" s="7"/>
      <c r="BY434" s="7"/>
      <c r="BZ434" s="7"/>
      <c r="CA434" s="7"/>
      <c r="CB434" s="7"/>
      <c r="CC434" s="7"/>
    </row>
    <row r="435" spans="1:81" ht="12" customHeight="1" x14ac:dyDescent="0.3">
      <c r="A435" s="7"/>
      <c r="B435" s="7"/>
      <c r="C435" s="11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8"/>
      <c r="BX435" s="7"/>
      <c r="BY435" s="7"/>
      <c r="BZ435" s="7"/>
      <c r="CA435" s="7"/>
      <c r="CB435" s="7"/>
      <c r="CC435" s="7"/>
    </row>
    <row r="436" spans="1:81" ht="12" customHeight="1" x14ac:dyDescent="0.3">
      <c r="A436" s="7"/>
      <c r="B436" s="7"/>
      <c r="C436" s="11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8"/>
      <c r="BX436" s="7"/>
      <c r="BY436" s="7"/>
      <c r="BZ436" s="7"/>
      <c r="CA436" s="7"/>
      <c r="CB436" s="7"/>
      <c r="CC436" s="7"/>
    </row>
    <row r="437" spans="1:81" ht="12" customHeight="1" x14ac:dyDescent="0.3">
      <c r="A437" s="7"/>
      <c r="B437" s="7"/>
      <c r="C437" s="11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8"/>
      <c r="BX437" s="7"/>
      <c r="BY437" s="7"/>
      <c r="BZ437" s="7"/>
      <c r="CA437" s="7"/>
      <c r="CB437" s="7"/>
      <c r="CC437" s="7"/>
    </row>
    <row r="438" spans="1:81" ht="12" customHeight="1" x14ac:dyDescent="0.3">
      <c r="A438" s="7"/>
      <c r="B438" s="7"/>
      <c r="C438" s="11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8"/>
      <c r="BX438" s="7"/>
      <c r="BY438" s="7"/>
      <c r="BZ438" s="7"/>
      <c r="CA438" s="7"/>
      <c r="CB438" s="7"/>
      <c r="CC438" s="7"/>
    </row>
    <row r="439" spans="1:81" ht="12" customHeight="1" x14ac:dyDescent="0.3">
      <c r="A439" s="7"/>
      <c r="B439" s="7"/>
      <c r="C439" s="11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8"/>
      <c r="BX439" s="7"/>
      <c r="BY439" s="7"/>
      <c r="BZ439" s="7"/>
      <c r="CA439" s="7"/>
      <c r="CB439" s="7"/>
      <c r="CC439" s="7"/>
    </row>
    <row r="440" spans="1:81" ht="12" customHeight="1" x14ac:dyDescent="0.3">
      <c r="A440" s="7"/>
      <c r="B440" s="7"/>
      <c r="C440" s="11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8"/>
      <c r="BX440" s="7"/>
      <c r="BY440" s="7"/>
      <c r="BZ440" s="7"/>
      <c r="CA440" s="7"/>
      <c r="CB440" s="7"/>
      <c r="CC440" s="7"/>
    </row>
    <row r="441" spans="1:81" ht="12" customHeight="1" x14ac:dyDescent="0.3">
      <c r="A441" s="7"/>
      <c r="B441" s="7"/>
      <c r="C441" s="11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8"/>
      <c r="BX441" s="7"/>
      <c r="BY441" s="7"/>
      <c r="BZ441" s="7"/>
      <c r="CA441" s="7"/>
      <c r="CB441" s="7"/>
      <c r="CC441" s="7"/>
    </row>
    <row r="442" spans="1:81" ht="12" customHeight="1" x14ac:dyDescent="0.3">
      <c r="A442" s="7"/>
      <c r="B442" s="7"/>
      <c r="C442" s="11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8"/>
      <c r="BX442" s="7"/>
      <c r="BY442" s="7"/>
      <c r="BZ442" s="7"/>
      <c r="CA442" s="7"/>
      <c r="CB442" s="7"/>
      <c r="CC442" s="7"/>
    </row>
    <row r="443" spans="1:81" ht="12" customHeight="1" x14ac:dyDescent="0.3">
      <c r="A443" s="7"/>
      <c r="B443" s="7"/>
      <c r="C443" s="11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8"/>
      <c r="BX443" s="7"/>
      <c r="BY443" s="7"/>
      <c r="BZ443" s="7"/>
      <c r="CA443" s="7"/>
      <c r="CB443" s="7"/>
      <c r="CC443" s="7"/>
    </row>
    <row r="444" spans="1:81" ht="12" customHeight="1" x14ac:dyDescent="0.3">
      <c r="A444" s="7"/>
      <c r="B444" s="7"/>
      <c r="C444" s="11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8"/>
      <c r="BX444" s="7"/>
      <c r="BY444" s="7"/>
      <c r="BZ444" s="7"/>
      <c r="CA444" s="7"/>
      <c r="CB444" s="7"/>
      <c r="CC444" s="7"/>
    </row>
    <row r="445" spans="1:81" ht="12" customHeight="1" x14ac:dyDescent="0.3">
      <c r="A445" s="7"/>
      <c r="B445" s="7"/>
      <c r="C445" s="11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8"/>
      <c r="BX445" s="7"/>
      <c r="BY445" s="7"/>
      <c r="BZ445" s="7"/>
      <c r="CA445" s="7"/>
      <c r="CB445" s="7"/>
      <c r="CC445" s="7"/>
    </row>
    <row r="446" spans="1:81" ht="12" customHeight="1" x14ac:dyDescent="0.3">
      <c r="A446" s="7"/>
      <c r="B446" s="7"/>
      <c r="C446" s="11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8"/>
      <c r="BX446" s="7"/>
      <c r="BY446" s="7"/>
      <c r="BZ446" s="7"/>
      <c r="CA446" s="7"/>
      <c r="CB446" s="7"/>
      <c r="CC446" s="7"/>
    </row>
    <row r="447" spans="1:81" ht="12" customHeight="1" x14ac:dyDescent="0.3">
      <c r="A447" s="7"/>
      <c r="B447" s="7"/>
      <c r="C447" s="11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8"/>
      <c r="BX447" s="7"/>
      <c r="BY447" s="7"/>
      <c r="BZ447" s="7"/>
      <c r="CA447" s="7"/>
      <c r="CB447" s="7"/>
      <c r="CC447" s="7"/>
    </row>
    <row r="448" spans="1:81" ht="12" customHeight="1" x14ac:dyDescent="0.3">
      <c r="A448" s="7"/>
      <c r="B448" s="7"/>
      <c r="C448" s="11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8"/>
      <c r="BX448" s="7"/>
      <c r="BY448" s="7"/>
      <c r="BZ448" s="7"/>
      <c r="CA448" s="7"/>
      <c r="CB448" s="7"/>
      <c r="CC448" s="7"/>
    </row>
    <row r="449" spans="1:81" ht="12" customHeight="1" x14ac:dyDescent="0.3">
      <c r="A449" s="7"/>
      <c r="B449" s="7"/>
      <c r="C449" s="11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8"/>
      <c r="BX449" s="7"/>
      <c r="BY449" s="7"/>
      <c r="BZ449" s="7"/>
      <c r="CA449" s="7"/>
      <c r="CB449" s="7"/>
      <c r="CC449" s="7"/>
    </row>
    <row r="450" spans="1:81" ht="12" customHeight="1" x14ac:dyDescent="0.3">
      <c r="A450" s="7"/>
      <c r="B450" s="7"/>
      <c r="C450" s="11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8"/>
      <c r="BX450" s="7"/>
      <c r="BY450" s="7"/>
      <c r="BZ450" s="7"/>
      <c r="CA450" s="7"/>
      <c r="CB450" s="7"/>
      <c r="CC450" s="7"/>
    </row>
    <row r="451" spans="1:81" ht="12" customHeight="1" x14ac:dyDescent="0.3">
      <c r="A451" s="7"/>
      <c r="B451" s="7"/>
      <c r="C451" s="11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8"/>
      <c r="BX451" s="7"/>
      <c r="BY451" s="7"/>
      <c r="BZ451" s="7"/>
      <c r="CA451" s="7"/>
      <c r="CB451" s="7"/>
      <c r="CC451" s="7"/>
    </row>
    <row r="452" spans="1:81" ht="12" customHeight="1" x14ac:dyDescent="0.3">
      <c r="A452" s="7"/>
      <c r="B452" s="7"/>
      <c r="C452" s="1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8"/>
      <c r="BX452" s="7"/>
      <c r="BY452" s="7"/>
      <c r="BZ452" s="7"/>
      <c r="CA452" s="7"/>
      <c r="CB452" s="7"/>
      <c r="CC452" s="7"/>
    </row>
    <row r="453" spans="1:81" ht="12" customHeight="1" x14ac:dyDescent="0.3">
      <c r="A453" s="7"/>
      <c r="B453" s="7"/>
      <c r="C453" s="1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8"/>
      <c r="BX453" s="7"/>
      <c r="BY453" s="7"/>
      <c r="BZ453" s="7"/>
      <c r="CA453" s="7"/>
      <c r="CB453" s="7"/>
      <c r="CC453" s="7"/>
    </row>
    <row r="454" spans="1:81" ht="12" customHeight="1" x14ac:dyDescent="0.3">
      <c r="A454" s="7"/>
      <c r="B454" s="7"/>
      <c r="C454" s="1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8"/>
      <c r="BX454" s="7"/>
      <c r="BY454" s="7"/>
      <c r="BZ454" s="7"/>
      <c r="CA454" s="7"/>
      <c r="CB454" s="7"/>
      <c r="CC454" s="7"/>
    </row>
    <row r="455" spans="1:81" ht="12" customHeight="1" x14ac:dyDescent="0.3">
      <c r="A455" s="7"/>
      <c r="B455" s="7"/>
      <c r="C455" s="1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8"/>
      <c r="BX455" s="7"/>
      <c r="BY455" s="7"/>
      <c r="BZ455" s="7"/>
      <c r="CA455" s="7"/>
      <c r="CB455" s="7"/>
      <c r="CC455" s="7"/>
    </row>
    <row r="456" spans="1:81" ht="12" customHeight="1" x14ac:dyDescent="0.3">
      <c r="A456" s="7"/>
      <c r="B456" s="7"/>
      <c r="C456" s="1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8"/>
      <c r="BX456" s="7"/>
      <c r="BY456" s="7"/>
      <c r="BZ456" s="7"/>
      <c r="CA456" s="7"/>
      <c r="CB456" s="7"/>
      <c r="CC456" s="7"/>
    </row>
    <row r="457" spans="1:81" ht="12" customHeight="1" x14ac:dyDescent="0.3">
      <c r="A457" s="7"/>
      <c r="B457" s="7"/>
      <c r="C457" s="1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8"/>
      <c r="BX457" s="7"/>
      <c r="BY457" s="7"/>
      <c r="BZ457" s="7"/>
      <c r="CA457" s="7"/>
      <c r="CB457" s="7"/>
      <c r="CC457" s="7"/>
    </row>
    <row r="458" spans="1:81" ht="12" customHeight="1" x14ac:dyDescent="0.3">
      <c r="A458" s="7"/>
      <c r="B458" s="7"/>
      <c r="C458" s="1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8"/>
      <c r="BX458" s="7"/>
      <c r="BY458" s="7"/>
      <c r="BZ458" s="7"/>
      <c r="CA458" s="7"/>
      <c r="CB458" s="7"/>
      <c r="CC458" s="7"/>
    </row>
    <row r="459" spans="1:81" ht="12" customHeight="1" x14ac:dyDescent="0.3">
      <c r="A459" s="7"/>
      <c r="B459" s="7"/>
      <c r="C459" s="1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8"/>
      <c r="BX459" s="7"/>
      <c r="BY459" s="7"/>
      <c r="BZ459" s="7"/>
      <c r="CA459" s="7"/>
      <c r="CB459" s="7"/>
      <c r="CC459" s="7"/>
    </row>
    <row r="460" spans="1:81" ht="12" customHeight="1" x14ac:dyDescent="0.3">
      <c r="A460" s="7"/>
      <c r="B460" s="7"/>
      <c r="C460" s="1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8"/>
      <c r="BX460" s="7"/>
      <c r="BY460" s="7"/>
      <c r="BZ460" s="7"/>
      <c r="CA460" s="7"/>
      <c r="CB460" s="7"/>
      <c r="CC460" s="7"/>
    </row>
    <row r="461" spans="1:81" ht="12" customHeight="1" x14ac:dyDescent="0.3">
      <c r="A461" s="7"/>
      <c r="B461" s="7"/>
      <c r="C461" s="1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8"/>
      <c r="BX461" s="7"/>
      <c r="BY461" s="7"/>
      <c r="BZ461" s="7"/>
      <c r="CA461" s="7"/>
      <c r="CB461" s="7"/>
      <c r="CC461" s="7"/>
    </row>
    <row r="462" spans="1:81" ht="12" customHeight="1" x14ac:dyDescent="0.3">
      <c r="A462" s="7"/>
      <c r="B462" s="7"/>
      <c r="C462" s="1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8"/>
      <c r="BX462" s="7"/>
      <c r="BY462" s="7"/>
      <c r="BZ462" s="7"/>
      <c r="CA462" s="7"/>
      <c r="CB462" s="7"/>
      <c r="CC462" s="7"/>
    </row>
    <row r="463" spans="1:81" ht="12" customHeight="1" x14ac:dyDescent="0.3">
      <c r="A463" s="7"/>
      <c r="B463" s="7"/>
      <c r="C463" s="1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8"/>
      <c r="BX463" s="7"/>
      <c r="BY463" s="7"/>
      <c r="BZ463" s="7"/>
      <c r="CA463" s="7"/>
      <c r="CB463" s="7"/>
      <c r="CC463" s="7"/>
    </row>
    <row r="464" spans="1:81" ht="12" customHeight="1" x14ac:dyDescent="0.3">
      <c r="A464" s="7"/>
      <c r="B464" s="7"/>
      <c r="C464" s="1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8"/>
      <c r="BX464" s="7"/>
      <c r="BY464" s="7"/>
      <c r="BZ464" s="7"/>
      <c r="CA464" s="7"/>
      <c r="CB464" s="7"/>
      <c r="CC464" s="7"/>
    </row>
    <row r="465" spans="1:81" ht="12" customHeight="1" x14ac:dyDescent="0.3">
      <c r="A465" s="7"/>
      <c r="B465" s="7"/>
      <c r="C465" s="1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8"/>
      <c r="BX465" s="7"/>
      <c r="BY465" s="7"/>
      <c r="BZ465" s="7"/>
      <c r="CA465" s="7"/>
      <c r="CB465" s="7"/>
      <c r="CC465" s="7"/>
    </row>
    <row r="466" spans="1:81" ht="12" customHeight="1" x14ac:dyDescent="0.3">
      <c r="A466" s="7"/>
      <c r="B466" s="7"/>
      <c r="C466" s="1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8"/>
      <c r="BX466" s="7"/>
      <c r="BY466" s="7"/>
      <c r="BZ466" s="7"/>
      <c r="CA466" s="7"/>
      <c r="CB466" s="7"/>
      <c r="CC466" s="7"/>
    </row>
    <row r="467" spans="1:81" ht="12" customHeight="1" x14ac:dyDescent="0.3">
      <c r="A467" s="7"/>
      <c r="B467" s="7"/>
      <c r="C467" s="1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8"/>
      <c r="BX467" s="7"/>
      <c r="BY467" s="7"/>
      <c r="BZ467" s="7"/>
      <c r="CA467" s="7"/>
      <c r="CB467" s="7"/>
      <c r="CC467" s="7"/>
    </row>
    <row r="468" spans="1:81" ht="12" customHeight="1" x14ac:dyDescent="0.3">
      <c r="A468" s="7"/>
      <c r="B468" s="7"/>
      <c r="C468" s="1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8"/>
      <c r="BX468" s="7"/>
      <c r="BY468" s="7"/>
      <c r="BZ468" s="7"/>
      <c r="CA468" s="7"/>
      <c r="CB468" s="7"/>
      <c r="CC468" s="7"/>
    </row>
    <row r="469" spans="1:81" ht="12" customHeight="1" x14ac:dyDescent="0.3">
      <c r="A469" s="7"/>
      <c r="B469" s="7"/>
      <c r="C469" s="1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8"/>
      <c r="BX469" s="7"/>
      <c r="BY469" s="7"/>
      <c r="BZ469" s="7"/>
      <c r="CA469" s="7"/>
      <c r="CB469" s="7"/>
      <c r="CC469" s="7"/>
    </row>
    <row r="470" spans="1:81" ht="12" customHeight="1" x14ac:dyDescent="0.3">
      <c r="A470" s="7"/>
      <c r="B470" s="7"/>
      <c r="C470" s="1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8"/>
      <c r="BX470" s="7"/>
      <c r="BY470" s="7"/>
      <c r="BZ470" s="7"/>
      <c r="CA470" s="7"/>
      <c r="CB470" s="7"/>
      <c r="CC470" s="7"/>
    </row>
    <row r="471" spans="1:81" ht="12" customHeight="1" x14ac:dyDescent="0.3">
      <c r="A471" s="7"/>
      <c r="B471" s="7"/>
      <c r="C471" s="1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8"/>
      <c r="BX471" s="7"/>
      <c r="BY471" s="7"/>
      <c r="BZ471" s="7"/>
      <c r="CA471" s="7"/>
      <c r="CB471" s="7"/>
      <c r="CC471" s="7"/>
    </row>
    <row r="472" spans="1:81" ht="12" customHeight="1" x14ac:dyDescent="0.3">
      <c r="A472" s="7"/>
      <c r="B472" s="7"/>
      <c r="C472" s="1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8"/>
      <c r="BX472" s="7"/>
      <c r="BY472" s="7"/>
      <c r="BZ472" s="7"/>
      <c r="CA472" s="7"/>
      <c r="CB472" s="7"/>
      <c r="CC472" s="7"/>
    </row>
    <row r="473" spans="1:81" ht="12" customHeight="1" x14ac:dyDescent="0.3">
      <c r="A473" s="7"/>
      <c r="B473" s="7"/>
      <c r="C473" s="1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8"/>
      <c r="BX473" s="7"/>
      <c r="BY473" s="7"/>
      <c r="BZ473" s="7"/>
      <c r="CA473" s="7"/>
      <c r="CB473" s="7"/>
      <c r="CC473" s="7"/>
    </row>
    <row r="474" spans="1:81" ht="12" customHeight="1" x14ac:dyDescent="0.3">
      <c r="A474" s="7"/>
      <c r="B474" s="7"/>
      <c r="C474" s="1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8"/>
      <c r="BX474" s="7"/>
      <c r="BY474" s="7"/>
      <c r="BZ474" s="7"/>
      <c r="CA474" s="7"/>
      <c r="CB474" s="7"/>
      <c r="CC474" s="7"/>
    </row>
    <row r="475" spans="1:81" ht="12" customHeight="1" x14ac:dyDescent="0.3">
      <c r="A475" s="7"/>
      <c r="B475" s="7"/>
      <c r="C475" s="1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8"/>
      <c r="BX475" s="7"/>
      <c r="BY475" s="7"/>
      <c r="BZ475" s="7"/>
      <c r="CA475" s="7"/>
      <c r="CB475" s="7"/>
      <c r="CC475" s="7"/>
    </row>
    <row r="476" spans="1:81" ht="12" customHeight="1" x14ac:dyDescent="0.3">
      <c r="A476" s="7"/>
      <c r="B476" s="7"/>
      <c r="C476" s="1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8"/>
      <c r="BX476" s="7"/>
      <c r="BY476" s="7"/>
      <c r="BZ476" s="7"/>
      <c r="CA476" s="7"/>
      <c r="CB476" s="7"/>
      <c r="CC476" s="7"/>
    </row>
    <row r="477" spans="1:81" ht="12" customHeight="1" x14ac:dyDescent="0.3">
      <c r="A477" s="7"/>
      <c r="B477" s="7"/>
      <c r="C477" s="1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8"/>
      <c r="BX477" s="7"/>
      <c r="BY477" s="7"/>
      <c r="BZ477" s="7"/>
      <c r="CA477" s="7"/>
      <c r="CB477" s="7"/>
      <c r="CC477" s="7"/>
    </row>
    <row r="478" spans="1:81" ht="12" customHeight="1" x14ac:dyDescent="0.3">
      <c r="A478" s="7"/>
      <c r="B478" s="7"/>
      <c r="C478" s="1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8"/>
      <c r="BX478" s="7"/>
      <c r="BY478" s="7"/>
      <c r="BZ478" s="7"/>
      <c r="CA478" s="7"/>
      <c r="CB478" s="7"/>
      <c r="CC478" s="7"/>
    </row>
    <row r="479" spans="1:81" ht="12" customHeight="1" x14ac:dyDescent="0.3">
      <c r="A479" s="7"/>
      <c r="B479" s="7"/>
      <c r="C479" s="1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8"/>
      <c r="BX479" s="7"/>
      <c r="BY479" s="7"/>
      <c r="BZ479" s="7"/>
      <c r="CA479" s="7"/>
      <c r="CB479" s="7"/>
      <c r="CC479" s="7"/>
    </row>
    <row r="480" spans="1:81" ht="12" customHeight="1" x14ac:dyDescent="0.3">
      <c r="A480" s="7"/>
      <c r="B480" s="7"/>
      <c r="C480" s="1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8"/>
      <c r="BX480" s="7"/>
      <c r="BY480" s="7"/>
      <c r="BZ480" s="7"/>
      <c r="CA480" s="7"/>
      <c r="CB480" s="7"/>
      <c r="CC480" s="7"/>
    </row>
    <row r="481" spans="1:81" ht="12" customHeight="1" x14ac:dyDescent="0.3">
      <c r="A481" s="7"/>
      <c r="B481" s="7"/>
      <c r="C481" s="1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8"/>
      <c r="BX481" s="7"/>
      <c r="BY481" s="7"/>
      <c r="BZ481" s="7"/>
      <c r="CA481" s="7"/>
      <c r="CB481" s="7"/>
      <c r="CC481" s="7"/>
    </row>
    <row r="482" spans="1:81" ht="12" customHeight="1" x14ac:dyDescent="0.3">
      <c r="A482" s="7"/>
      <c r="B482" s="7"/>
      <c r="C482" s="1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8"/>
      <c r="BX482" s="7"/>
      <c r="BY482" s="7"/>
      <c r="BZ482" s="7"/>
      <c r="CA482" s="7"/>
      <c r="CB482" s="7"/>
      <c r="CC482" s="7"/>
    </row>
    <row r="483" spans="1:81" ht="12" customHeight="1" x14ac:dyDescent="0.3">
      <c r="A483" s="7"/>
      <c r="B483" s="7"/>
      <c r="C483" s="1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8"/>
      <c r="BX483" s="7"/>
      <c r="BY483" s="7"/>
      <c r="BZ483" s="7"/>
      <c r="CA483" s="7"/>
      <c r="CB483" s="7"/>
      <c r="CC483" s="7"/>
    </row>
    <row r="484" spans="1:81" ht="12" customHeight="1" x14ac:dyDescent="0.3">
      <c r="A484" s="7"/>
      <c r="B484" s="7"/>
      <c r="C484" s="1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8"/>
      <c r="BX484" s="7"/>
      <c r="BY484" s="7"/>
      <c r="BZ484" s="7"/>
      <c r="CA484" s="7"/>
      <c r="CB484" s="7"/>
      <c r="CC484" s="7"/>
    </row>
    <row r="485" spans="1:81" ht="12" customHeight="1" x14ac:dyDescent="0.3">
      <c r="A485" s="7"/>
      <c r="B485" s="7"/>
      <c r="C485" s="1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8"/>
      <c r="BX485" s="7"/>
      <c r="BY485" s="7"/>
      <c r="BZ485" s="7"/>
      <c r="CA485" s="7"/>
      <c r="CB485" s="7"/>
      <c r="CC485" s="7"/>
    </row>
    <row r="486" spans="1:81" ht="12" customHeight="1" x14ac:dyDescent="0.3">
      <c r="A486" s="7"/>
      <c r="B486" s="7"/>
      <c r="C486" s="1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8"/>
      <c r="BX486" s="7"/>
      <c r="BY486" s="7"/>
      <c r="BZ486" s="7"/>
      <c r="CA486" s="7"/>
      <c r="CB486" s="7"/>
      <c r="CC486" s="7"/>
    </row>
    <row r="487" spans="1:81" ht="12" customHeight="1" x14ac:dyDescent="0.3">
      <c r="A487" s="7"/>
      <c r="B487" s="7"/>
      <c r="C487" s="1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8"/>
      <c r="BX487" s="7"/>
      <c r="BY487" s="7"/>
      <c r="BZ487" s="7"/>
      <c r="CA487" s="7"/>
      <c r="CB487" s="7"/>
      <c r="CC487" s="7"/>
    </row>
    <row r="488" spans="1:81" ht="12" customHeight="1" x14ac:dyDescent="0.3">
      <c r="A488" s="7"/>
      <c r="B488" s="7"/>
      <c r="C488" s="1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8"/>
      <c r="BX488" s="7"/>
      <c r="BY488" s="7"/>
      <c r="BZ488" s="7"/>
      <c r="CA488" s="7"/>
      <c r="CB488" s="7"/>
      <c r="CC488" s="7"/>
    </row>
    <row r="489" spans="1:81" ht="12" customHeight="1" x14ac:dyDescent="0.3">
      <c r="A489" s="7"/>
      <c r="B489" s="7"/>
      <c r="C489" s="1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8"/>
      <c r="BX489" s="7"/>
      <c r="BY489" s="7"/>
      <c r="BZ489" s="7"/>
      <c r="CA489" s="7"/>
      <c r="CB489" s="7"/>
      <c r="CC489" s="7"/>
    </row>
    <row r="490" spans="1:81" ht="12" customHeight="1" x14ac:dyDescent="0.3">
      <c r="A490" s="7"/>
      <c r="B490" s="7"/>
      <c r="C490" s="1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8"/>
      <c r="BX490" s="7"/>
      <c r="BY490" s="7"/>
      <c r="BZ490" s="7"/>
      <c r="CA490" s="7"/>
      <c r="CB490" s="7"/>
      <c r="CC490" s="7"/>
    </row>
    <row r="491" spans="1:81" ht="12" customHeight="1" x14ac:dyDescent="0.3">
      <c r="A491" s="7"/>
      <c r="B491" s="7"/>
      <c r="C491" s="1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8"/>
      <c r="BX491" s="7"/>
      <c r="BY491" s="7"/>
      <c r="BZ491" s="7"/>
      <c r="CA491" s="7"/>
      <c r="CB491" s="7"/>
      <c r="CC491" s="7"/>
    </row>
    <row r="492" spans="1:81" ht="12" customHeight="1" x14ac:dyDescent="0.3">
      <c r="A492" s="7"/>
      <c r="B492" s="7"/>
      <c r="C492" s="1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8"/>
      <c r="BX492" s="7"/>
      <c r="BY492" s="7"/>
      <c r="BZ492" s="7"/>
      <c r="CA492" s="7"/>
      <c r="CB492" s="7"/>
      <c r="CC492" s="7"/>
    </row>
    <row r="493" spans="1:81" ht="12" customHeight="1" x14ac:dyDescent="0.3">
      <c r="A493" s="7"/>
      <c r="B493" s="7"/>
      <c r="C493" s="1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8"/>
      <c r="BX493" s="7"/>
      <c r="BY493" s="7"/>
      <c r="BZ493" s="7"/>
      <c r="CA493" s="7"/>
      <c r="CB493" s="7"/>
      <c r="CC493" s="7"/>
    </row>
    <row r="494" spans="1:81" ht="12" customHeight="1" x14ac:dyDescent="0.3">
      <c r="A494" s="7"/>
      <c r="B494" s="7"/>
      <c r="C494" s="1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8"/>
      <c r="BX494" s="7"/>
      <c r="BY494" s="7"/>
      <c r="BZ494" s="7"/>
      <c r="CA494" s="7"/>
      <c r="CB494" s="7"/>
      <c r="CC494" s="7"/>
    </row>
    <row r="495" spans="1:81" ht="12" customHeight="1" x14ac:dyDescent="0.3">
      <c r="A495" s="7"/>
      <c r="B495" s="7"/>
      <c r="C495" s="1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8"/>
      <c r="BX495" s="7"/>
      <c r="BY495" s="7"/>
      <c r="BZ495" s="7"/>
      <c r="CA495" s="7"/>
      <c r="CB495" s="7"/>
      <c r="CC495" s="7"/>
    </row>
    <row r="496" spans="1:81" ht="12" customHeight="1" x14ac:dyDescent="0.3">
      <c r="A496" s="7"/>
      <c r="B496" s="7"/>
      <c r="C496" s="1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8"/>
      <c r="BX496" s="7"/>
      <c r="BY496" s="7"/>
      <c r="BZ496" s="7"/>
      <c r="CA496" s="7"/>
      <c r="CB496" s="7"/>
      <c r="CC496" s="7"/>
    </row>
    <row r="497" spans="1:81" ht="12" customHeight="1" x14ac:dyDescent="0.3">
      <c r="A497" s="7"/>
      <c r="B497" s="7"/>
      <c r="C497" s="1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8"/>
      <c r="BX497" s="7"/>
      <c r="BY497" s="7"/>
      <c r="BZ497" s="7"/>
      <c r="CA497" s="7"/>
      <c r="CB497" s="7"/>
      <c r="CC497" s="7"/>
    </row>
    <row r="498" spans="1:81" ht="12" customHeight="1" x14ac:dyDescent="0.3">
      <c r="A498" s="7"/>
      <c r="B498" s="7"/>
      <c r="C498" s="1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8"/>
      <c r="BX498" s="7"/>
      <c r="BY498" s="7"/>
      <c r="BZ498" s="7"/>
      <c r="CA498" s="7"/>
      <c r="CB498" s="7"/>
      <c r="CC498" s="7"/>
    </row>
    <row r="499" spans="1:81" ht="12" customHeight="1" x14ac:dyDescent="0.3">
      <c r="A499" s="7"/>
      <c r="B499" s="7"/>
      <c r="C499" s="1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8"/>
      <c r="BX499" s="7"/>
      <c r="BY499" s="7"/>
      <c r="BZ499" s="7"/>
      <c r="CA499" s="7"/>
      <c r="CB499" s="7"/>
      <c r="CC499" s="7"/>
    </row>
    <row r="500" spans="1:81" ht="12" customHeight="1" x14ac:dyDescent="0.3">
      <c r="A500" s="7"/>
      <c r="B500" s="7"/>
      <c r="C500" s="1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8"/>
      <c r="BX500" s="7"/>
      <c r="BY500" s="7"/>
      <c r="BZ500" s="7"/>
      <c r="CA500" s="7"/>
      <c r="CB500" s="7"/>
      <c r="CC500" s="7"/>
    </row>
    <row r="501" spans="1:81" ht="12" customHeight="1" x14ac:dyDescent="0.3">
      <c r="A501" s="7"/>
      <c r="B501" s="7"/>
      <c r="C501" s="1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8"/>
      <c r="BX501" s="7"/>
      <c r="BY501" s="7"/>
      <c r="BZ501" s="7"/>
      <c r="CA501" s="7"/>
      <c r="CB501" s="7"/>
      <c r="CC501" s="7"/>
    </row>
    <row r="502" spans="1:81" ht="12" customHeight="1" x14ac:dyDescent="0.3">
      <c r="A502" s="7"/>
      <c r="B502" s="7"/>
      <c r="C502" s="1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8"/>
      <c r="BX502" s="7"/>
      <c r="BY502" s="7"/>
      <c r="BZ502" s="7"/>
      <c r="CA502" s="7"/>
      <c r="CB502" s="7"/>
      <c r="CC502" s="7"/>
    </row>
    <row r="503" spans="1:81" ht="12" customHeight="1" x14ac:dyDescent="0.3">
      <c r="A503" s="7"/>
      <c r="B503" s="7"/>
      <c r="C503" s="1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8"/>
      <c r="BX503" s="7"/>
      <c r="BY503" s="7"/>
      <c r="BZ503" s="7"/>
      <c r="CA503" s="7"/>
      <c r="CB503" s="7"/>
      <c r="CC503" s="7"/>
    </row>
    <row r="504" spans="1:81" ht="12" customHeight="1" x14ac:dyDescent="0.3">
      <c r="A504" s="7"/>
      <c r="B504" s="7"/>
      <c r="C504" s="1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8"/>
      <c r="BX504" s="7"/>
      <c r="BY504" s="7"/>
      <c r="BZ504" s="7"/>
      <c r="CA504" s="7"/>
      <c r="CB504" s="7"/>
      <c r="CC504" s="7"/>
    </row>
    <row r="505" spans="1:81" ht="12" customHeight="1" x14ac:dyDescent="0.3">
      <c r="A505" s="7"/>
      <c r="B505" s="7"/>
      <c r="C505" s="1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8"/>
      <c r="BX505" s="7"/>
      <c r="BY505" s="7"/>
      <c r="BZ505" s="7"/>
      <c r="CA505" s="7"/>
      <c r="CB505" s="7"/>
      <c r="CC505" s="7"/>
    </row>
    <row r="506" spans="1:81" ht="12" customHeight="1" x14ac:dyDescent="0.3">
      <c r="A506" s="7"/>
      <c r="B506" s="7"/>
      <c r="C506" s="1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8"/>
      <c r="BX506" s="7"/>
      <c r="BY506" s="7"/>
      <c r="BZ506" s="7"/>
      <c r="CA506" s="7"/>
      <c r="CB506" s="7"/>
      <c r="CC506" s="7"/>
    </row>
    <row r="507" spans="1:81" ht="12" customHeight="1" x14ac:dyDescent="0.3">
      <c r="A507" s="7"/>
      <c r="B507" s="7"/>
      <c r="C507" s="1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8"/>
      <c r="BX507" s="7"/>
      <c r="BY507" s="7"/>
      <c r="BZ507" s="7"/>
      <c r="CA507" s="7"/>
      <c r="CB507" s="7"/>
      <c r="CC507" s="7"/>
    </row>
    <row r="508" spans="1:81" ht="12" customHeight="1" x14ac:dyDescent="0.3">
      <c r="A508" s="7"/>
      <c r="B508" s="7"/>
      <c r="C508" s="1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8"/>
      <c r="BX508" s="7"/>
      <c r="BY508" s="7"/>
      <c r="BZ508" s="7"/>
      <c r="CA508" s="7"/>
      <c r="CB508" s="7"/>
      <c r="CC508" s="7"/>
    </row>
    <row r="509" spans="1:81" ht="12" customHeight="1" x14ac:dyDescent="0.3">
      <c r="A509" s="7"/>
      <c r="B509" s="7"/>
      <c r="C509" s="1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8"/>
      <c r="BX509" s="7"/>
      <c r="BY509" s="7"/>
      <c r="BZ509" s="7"/>
      <c r="CA509" s="7"/>
      <c r="CB509" s="7"/>
      <c r="CC509" s="7"/>
    </row>
    <row r="510" spans="1:81" ht="12" customHeight="1" x14ac:dyDescent="0.3">
      <c r="A510" s="7"/>
      <c r="B510" s="7"/>
      <c r="C510" s="1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8"/>
      <c r="BX510" s="7"/>
      <c r="BY510" s="7"/>
      <c r="BZ510" s="7"/>
      <c r="CA510" s="7"/>
      <c r="CB510" s="7"/>
      <c r="CC510" s="7"/>
    </row>
    <row r="511" spans="1:81" ht="12" customHeight="1" x14ac:dyDescent="0.3">
      <c r="A511" s="7"/>
      <c r="B511" s="7"/>
      <c r="C511" s="1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8"/>
      <c r="BX511" s="7"/>
      <c r="BY511" s="7"/>
      <c r="BZ511" s="7"/>
      <c r="CA511" s="7"/>
      <c r="CB511" s="7"/>
      <c r="CC511" s="7"/>
    </row>
    <row r="512" spans="1:81" ht="12" customHeight="1" x14ac:dyDescent="0.3">
      <c r="A512" s="7"/>
      <c r="B512" s="7"/>
      <c r="C512" s="1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8"/>
      <c r="BX512" s="7"/>
      <c r="BY512" s="7"/>
      <c r="BZ512" s="7"/>
      <c r="CA512" s="7"/>
      <c r="CB512" s="7"/>
      <c r="CC512" s="7"/>
    </row>
    <row r="513" spans="1:81" ht="12" customHeight="1" x14ac:dyDescent="0.3">
      <c r="A513" s="7"/>
      <c r="B513" s="7"/>
      <c r="C513" s="1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8"/>
      <c r="BX513" s="7"/>
      <c r="BY513" s="7"/>
      <c r="BZ513" s="7"/>
      <c r="CA513" s="7"/>
      <c r="CB513" s="7"/>
      <c r="CC513" s="7"/>
    </row>
    <row r="514" spans="1:81" ht="12" customHeight="1" x14ac:dyDescent="0.3">
      <c r="A514" s="7"/>
      <c r="B514" s="7"/>
      <c r="C514" s="1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8"/>
      <c r="BX514" s="7"/>
      <c r="BY514" s="7"/>
      <c r="BZ514" s="7"/>
      <c r="CA514" s="7"/>
      <c r="CB514" s="7"/>
      <c r="CC514" s="7"/>
    </row>
    <row r="515" spans="1:81" ht="12" customHeight="1" x14ac:dyDescent="0.3">
      <c r="A515" s="7"/>
      <c r="B515" s="7"/>
      <c r="C515" s="1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8"/>
      <c r="BX515" s="7"/>
      <c r="BY515" s="7"/>
      <c r="BZ515" s="7"/>
      <c r="CA515" s="7"/>
      <c r="CB515" s="7"/>
      <c r="CC515" s="7"/>
    </row>
    <row r="516" spans="1:81" ht="12" customHeight="1" x14ac:dyDescent="0.3">
      <c r="A516" s="7"/>
      <c r="B516" s="7"/>
      <c r="C516" s="1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8"/>
      <c r="BX516" s="7"/>
      <c r="BY516" s="7"/>
      <c r="BZ516" s="7"/>
      <c r="CA516" s="7"/>
      <c r="CB516" s="7"/>
      <c r="CC516" s="7"/>
    </row>
    <row r="517" spans="1:81" ht="12" customHeight="1" x14ac:dyDescent="0.3">
      <c r="A517" s="7"/>
      <c r="B517" s="7"/>
      <c r="C517" s="1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8"/>
      <c r="BX517" s="7"/>
      <c r="BY517" s="7"/>
      <c r="BZ517" s="7"/>
      <c r="CA517" s="7"/>
      <c r="CB517" s="7"/>
      <c r="CC517" s="7"/>
    </row>
    <row r="518" spans="1:81" ht="12" customHeight="1" x14ac:dyDescent="0.3">
      <c r="A518" s="7"/>
      <c r="B518" s="7"/>
      <c r="C518" s="1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8"/>
      <c r="BX518" s="7"/>
      <c r="BY518" s="7"/>
      <c r="BZ518" s="7"/>
      <c r="CA518" s="7"/>
      <c r="CB518" s="7"/>
      <c r="CC518" s="7"/>
    </row>
    <row r="519" spans="1:81" ht="12" customHeight="1" x14ac:dyDescent="0.3">
      <c r="A519" s="7"/>
      <c r="B519" s="7"/>
      <c r="C519" s="1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8"/>
      <c r="BX519" s="7"/>
      <c r="BY519" s="7"/>
      <c r="BZ519" s="7"/>
      <c r="CA519" s="7"/>
      <c r="CB519" s="7"/>
      <c r="CC519" s="7"/>
    </row>
    <row r="520" spans="1:81" ht="12" customHeight="1" x14ac:dyDescent="0.3">
      <c r="A520" s="7"/>
      <c r="B520" s="7"/>
      <c r="C520" s="1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8"/>
      <c r="BX520" s="7"/>
      <c r="BY520" s="7"/>
      <c r="BZ520" s="7"/>
      <c r="CA520" s="7"/>
      <c r="CB520" s="7"/>
      <c r="CC520" s="7"/>
    </row>
    <row r="521" spans="1:81" ht="12" customHeight="1" x14ac:dyDescent="0.3">
      <c r="A521" s="7"/>
      <c r="B521" s="7"/>
      <c r="C521" s="1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8"/>
      <c r="BX521" s="7"/>
      <c r="BY521" s="7"/>
      <c r="BZ521" s="7"/>
      <c r="CA521" s="7"/>
      <c r="CB521" s="7"/>
      <c r="CC521" s="7"/>
    </row>
    <row r="522" spans="1:81" ht="12" customHeight="1" x14ac:dyDescent="0.3">
      <c r="A522" s="7"/>
      <c r="B522" s="7"/>
      <c r="C522" s="1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8"/>
      <c r="BX522" s="7"/>
      <c r="BY522" s="7"/>
      <c r="BZ522" s="7"/>
      <c r="CA522" s="7"/>
      <c r="CB522" s="7"/>
      <c r="CC522" s="7"/>
    </row>
    <row r="523" spans="1:81" ht="12" customHeight="1" x14ac:dyDescent="0.3">
      <c r="A523" s="7"/>
      <c r="B523" s="7"/>
      <c r="C523" s="1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8"/>
      <c r="BX523" s="7"/>
      <c r="BY523" s="7"/>
      <c r="BZ523" s="7"/>
      <c r="CA523" s="7"/>
      <c r="CB523" s="7"/>
      <c r="CC523" s="7"/>
    </row>
    <row r="524" spans="1:81" ht="12" customHeight="1" x14ac:dyDescent="0.3">
      <c r="A524" s="7"/>
      <c r="B524" s="7"/>
      <c r="C524" s="1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8"/>
      <c r="BX524" s="7"/>
      <c r="BY524" s="7"/>
      <c r="BZ524" s="7"/>
      <c r="CA524" s="7"/>
      <c r="CB524" s="7"/>
      <c r="CC524" s="7"/>
    </row>
    <row r="525" spans="1:81" ht="12" customHeight="1" x14ac:dyDescent="0.3">
      <c r="A525" s="7"/>
      <c r="B525" s="7"/>
      <c r="C525" s="1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8"/>
      <c r="BX525" s="7"/>
      <c r="BY525" s="7"/>
      <c r="BZ525" s="7"/>
      <c r="CA525" s="7"/>
      <c r="CB525" s="7"/>
      <c r="CC525" s="7"/>
    </row>
    <row r="526" spans="1:81" ht="12" customHeight="1" x14ac:dyDescent="0.3">
      <c r="A526" s="7"/>
      <c r="B526" s="7"/>
      <c r="C526" s="1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8"/>
      <c r="BX526" s="7"/>
      <c r="BY526" s="7"/>
      <c r="BZ526" s="7"/>
      <c r="CA526" s="7"/>
      <c r="CB526" s="7"/>
      <c r="CC526" s="7"/>
    </row>
    <row r="527" spans="1:81" ht="12" customHeight="1" x14ac:dyDescent="0.3">
      <c r="A527" s="7"/>
      <c r="B527" s="7"/>
      <c r="C527" s="1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8"/>
      <c r="BX527" s="7"/>
      <c r="BY527" s="7"/>
      <c r="BZ527" s="7"/>
      <c r="CA527" s="7"/>
      <c r="CB527" s="7"/>
      <c r="CC527" s="7"/>
    </row>
    <row r="528" spans="1:81" ht="12" customHeight="1" x14ac:dyDescent="0.3">
      <c r="A528" s="7"/>
      <c r="B528" s="7"/>
      <c r="C528" s="1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8"/>
      <c r="BX528" s="7"/>
      <c r="BY528" s="7"/>
      <c r="BZ528" s="7"/>
      <c r="CA528" s="7"/>
      <c r="CB528" s="7"/>
      <c r="CC528" s="7"/>
    </row>
    <row r="529" spans="1:81" ht="12" customHeight="1" x14ac:dyDescent="0.3">
      <c r="A529" s="7"/>
      <c r="B529" s="7"/>
      <c r="C529" s="1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8"/>
      <c r="BX529" s="7"/>
      <c r="BY529" s="7"/>
      <c r="BZ529" s="7"/>
      <c r="CA529" s="7"/>
      <c r="CB529" s="7"/>
      <c r="CC529" s="7"/>
    </row>
    <row r="530" spans="1:81" ht="12" customHeight="1" x14ac:dyDescent="0.3">
      <c r="A530" s="7"/>
      <c r="B530" s="7"/>
      <c r="C530" s="1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8"/>
      <c r="BX530" s="7"/>
      <c r="BY530" s="7"/>
      <c r="BZ530" s="7"/>
      <c r="CA530" s="7"/>
      <c r="CB530" s="7"/>
      <c r="CC530" s="7"/>
    </row>
    <row r="531" spans="1:81" ht="12" customHeight="1" x14ac:dyDescent="0.3">
      <c r="A531" s="7"/>
      <c r="B531" s="7"/>
      <c r="C531" s="1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8"/>
      <c r="BX531" s="7"/>
      <c r="BY531" s="7"/>
      <c r="BZ531" s="7"/>
      <c r="CA531" s="7"/>
      <c r="CB531" s="7"/>
      <c r="CC531" s="7"/>
    </row>
    <row r="532" spans="1:81" ht="12" customHeight="1" x14ac:dyDescent="0.3">
      <c r="A532" s="7"/>
      <c r="B532" s="7"/>
      <c r="C532" s="1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8"/>
      <c r="BX532" s="7"/>
      <c r="BY532" s="7"/>
      <c r="BZ532" s="7"/>
      <c r="CA532" s="7"/>
      <c r="CB532" s="7"/>
      <c r="CC532" s="7"/>
    </row>
    <row r="533" spans="1:81" ht="12" customHeight="1" x14ac:dyDescent="0.3">
      <c r="A533" s="7"/>
      <c r="B533" s="7"/>
      <c r="C533" s="1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8"/>
      <c r="BX533" s="7"/>
      <c r="BY533" s="7"/>
      <c r="BZ533" s="7"/>
      <c r="CA533" s="7"/>
      <c r="CB533" s="7"/>
      <c r="CC533" s="7"/>
    </row>
    <row r="534" spans="1:81" ht="12" customHeight="1" x14ac:dyDescent="0.3">
      <c r="A534" s="7"/>
      <c r="B534" s="7"/>
      <c r="C534" s="1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8"/>
      <c r="BX534" s="7"/>
      <c r="BY534" s="7"/>
      <c r="BZ534" s="7"/>
      <c r="CA534" s="7"/>
      <c r="CB534" s="7"/>
      <c r="CC534" s="7"/>
    </row>
    <row r="535" spans="1:81" ht="12" customHeight="1" x14ac:dyDescent="0.3">
      <c r="A535" s="7"/>
      <c r="B535" s="7"/>
      <c r="C535" s="1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8"/>
      <c r="BX535" s="7"/>
      <c r="BY535" s="7"/>
      <c r="BZ535" s="7"/>
      <c r="CA535" s="7"/>
      <c r="CB535" s="7"/>
      <c r="CC535" s="7"/>
    </row>
    <row r="536" spans="1:81" ht="12" customHeight="1" x14ac:dyDescent="0.3">
      <c r="A536" s="7"/>
      <c r="B536" s="7"/>
      <c r="C536" s="1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8"/>
      <c r="BX536" s="7"/>
      <c r="BY536" s="7"/>
      <c r="BZ536" s="7"/>
      <c r="CA536" s="7"/>
      <c r="CB536" s="7"/>
      <c r="CC536" s="7"/>
    </row>
    <row r="537" spans="1:81" ht="12" customHeight="1" x14ac:dyDescent="0.3">
      <c r="A537" s="7"/>
      <c r="B537" s="7"/>
      <c r="C537" s="1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8"/>
      <c r="BX537" s="7"/>
      <c r="BY537" s="7"/>
      <c r="BZ537" s="7"/>
      <c r="CA537" s="7"/>
      <c r="CB537" s="7"/>
      <c r="CC537" s="7"/>
    </row>
    <row r="538" spans="1:81" ht="12" customHeight="1" x14ac:dyDescent="0.3">
      <c r="A538" s="7"/>
      <c r="B538" s="7"/>
      <c r="C538" s="1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8"/>
      <c r="BX538" s="7"/>
      <c r="BY538" s="7"/>
      <c r="BZ538" s="7"/>
      <c r="CA538" s="7"/>
      <c r="CB538" s="7"/>
      <c r="CC538" s="7"/>
    </row>
    <row r="539" spans="1:81" ht="12" customHeight="1" x14ac:dyDescent="0.3">
      <c r="A539" s="7"/>
      <c r="B539" s="7"/>
      <c r="C539" s="1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8"/>
      <c r="BX539" s="7"/>
      <c r="BY539" s="7"/>
      <c r="BZ539" s="7"/>
      <c r="CA539" s="7"/>
      <c r="CB539" s="7"/>
      <c r="CC539" s="7"/>
    </row>
    <row r="540" spans="1:81" ht="12" customHeight="1" x14ac:dyDescent="0.3">
      <c r="A540" s="7"/>
      <c r="B540" s="7"/>
      <c r="C540" s="1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8"/>
      <c r="BX540" s="7"/>
      <c r="BY540" s="7"/>
      <c r="BZ540" s="7"/>
      <c r="CA540" s="7"/>
      <c r="CB540" s="7"/>
      <c r="CC540" s="7"/>
    </row>
    <row r="541" spans="1:81" ht="12" customHeight="1" x14ac:dyDescent="0.3">
      <c r="A541" s="7"/>
      <c r="B541" s="7"/>
      <c r="C541" s="1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8"/>
      <c r="BX541" s="7"/>
      <c r="BY541" s="7"/>
      <c r="BZ541" s="7"/>
      <c r="CA541" s="7"/>
      <c r="CB541" s="7"/>
      <c r="CC541" s="7"/>
    </row>
    <row r="542" spans="1:81" ht="12" customHeight="1" x14ac:dyDescent="0.3">
      <c r="A542" s="7"/>
      <c r="B542" s="7"/>
      <c r="C542" s="1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8"/>
      <c r="BX542" s="7"/>
      <c r="BY542" s="7"/>
      <c r="BZ542" s="7"/>
      <c r="CA542" s="7"/>
      <c r="CB542" s="7"/>
      <c r="CC542" s="7"/>
    </row>
    <row r="543" spans="1:81" ht="12" customHeight="1" x14ac:dyDescent="0.3">
      <c r="A543" s="7"/>
      <c r="B543" s="7"/>
      <c r="C543" s="1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8"/>
      <c r="BX543" s="7"/>
      <c r="BY543" s="7"/>
      <c r="BZ543" s="7"/>
      <c r="CA543" s="7"/>
      <c r="CB543" s="7"/>
      <c r="CC543" s="7"/>
    </row>
    <row r="544" spans="1:81" ht="12" customHeight="1" x14ac:dyDescent="0.3">
      <c r="A544" s="7"/>
      <c r="B544" s="7"/>
      <c r="C544" s="1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8"/>
      <c r="BX544" s="7"/>
      <c r="BY544" s="7"/>
      <c r="BZ544" s="7"/>
      <c r="CA544" s="7"/>
      <c r="CB544" s="7"/>
      <c r="CC544" s="7"/>
    </row>
    <row r="545" spans="1:81" ht="12" customHeight="1" x14ac:dyDescent="0.3">
      <c r="A545" s="7"/>
      <c r="B545" s="7"/>
      <c r="C545" s="1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8"/>
      <c r="BX545" s="7"/>
      <c r="BY545" s="7"/>
      <c r="BZ545" s="7"/>
      <c r="CA545" s="7"/>
      <c r="CB545" s="7"/>
      <c r="CC545" s="7"/>
    </row>
    <row r="546" spans="1:81" ht="12" customHeight="1" x14ac:dyDescent="0.3">
      <c r="A546" s="7"/>
      <c r="B546" s="7"/>
      <c r="C546" s="1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8"/>
      <c r="BX546" s="7"/>
      <c r="BY546" s="7"/>
      <c r="BZ546" s="7"/>
      <c r="CA546" s="7"/>
      <c r="CB546" s="7"/>
      <c r="CC546" s="7"/>
    </row>
    <row r="547" spans="1:81" ht="12" customHeight="1" x14ac:dyDescent="0.3">
      <c r="A547" s="7"/>
      <c r="B547" s="7"/>
      <c r="C547" s="1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8"/>
      <c r="BX547" s="7"/>
      <c r="BY547" s="7"/>
      <c r="BZ547" s="7"/>
      <c r="CA547" s="7"/>
      <c r="CB547" s="7"/>
      <c r="CC547" s="7"/>
    </row>
    <row r="548" spans="1:81" ht="12" customHeight="1" x14ac:dyDescent="0.3">
      <c r="A548" s="7"/>
      <c r="B548" s="7"/>
      <c r="C548" s="1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8"/>
      <c r="BX548" s="7"/>
      <c r="BY548" s="7"/>
      <c r="BZ548" s="7"/>
      <c r="CA548" s="7"/>
      <c r="CB548" s="7"/>
      <c r="CC548" s="7"/>
    </row>
    <row r="549" spans="1:81" ht="12" customHeight="1" x14ac:dyDescent="0.3">
      <c r="A549" s="7"/>
      <c r="B549" s="7"/>
      <c r="C549" s="1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8"/>
      <c r="BX549" s="7"/>
      <c r="BY549" s="7"/>
      <c r="BZ549" s="7"/>
      <c r="CA549" s="7"/>
      <c r="CB549" s="7"/>
      <c r="CC549" s="7"/>
    </row>
    <row r="550" spans="1:81" ht="12" customHeight="1" x14ac:dyDescent="0.3">
      <c r="A550" s="7"/>
      <c r="B550" s="7"/>
      <c r="C550" s="1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8"/>
      <c r="BX550" s="7"/>
      <c r="BY550" s="7"/>
      <c r="BZ550" s="7"/>
      <c r="CA550" s="7"/>
      <c r="CB550" s="7"/>
      <c r="CC550" s="7"/>
    </row>
    <row r="551" spans="1:81" ht="12" customHeight="1" x14ac:dyDescent="0.3">
      <c r="A551" s="7"/>
      <c r="B551" s="7"/>
      <c r="C551" s="1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8"/>
      <c r="BX551" s="7"/>
      <c r="BY551" s="7"/>
      <c r="BZ551" s="7"/>
      <c r="CA551" s="7"/>
      <c r="CB551" s="7"/>
      <c r="CC551" s="7"/>
    </row>
    <row r="552" spans="1:81" ht="12" customHeight="1" x14ac:dyDescent="0.3">
      <c r="A552" s="7"/>
      <c r="B552" s="7"/>
      <c r="C552" s="1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8"/>
      <c r="BX552" s="7"/>
      <c r="BY552" s="7"/>
      <c r="BZ552" s="7"/>
      <c r="CA552" s="7"/>
      <c r="CB552" s="7"/>
      <c r="CC552" s="7"/>
    </row>
    <row r="553" spans="1:81" ht="12" customHeight="1" x14ac:dyDescent="0.3">
      <c r="A553" s="7"/>
      <c r="B553" s="7"/>
      <c r="C553" s="1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8"/>
      <c r="BX553" s="7"/>
      <c r="BY553" s="7"/>
      <c r="BZ553" s="7"/>
      <c r="CA553" s="7"/>
      <c r="CB553" s="7"/>
      <c r="CC553" s="7"/>
    </row>
    <row r="554" spans="1:81" ht="12" customHeight="1" x14ac:dyDescent="0.3">
      <c r="A554" s="7"/>
      <c r="B554" s="7"/>
      <c r="C554" s="1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8"/>
      <c r="BX554" s="7"/>
      <c r="BY554" s="7"/>
      <c r="BZ554" s="7"/>
      <c r="CA554" s="7"/>
      <c r="CB554" s="7"/>
      <c r="CC554" s="7"/>
    </row>
    <row r="555" spans="1:81" ht="12" customHeight="1" x14ac:dyDescent="0.3">
      <c r="A555" s="7"/>
      <c r="B555" s="7"/>
      <c r="C555" s="1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8"/>
      <c r="BX555" s="7"/>
      <c r="BY555" s="7"/>
      <c r="BZ555" s="7"/>
      <c r="CA555" s="7"/>
      <c r="CB555" s="7"/>
      <c r="CC555" s="7"/>
    </row>
    <row r="556" spans="1:81" ht="12" customHeight="1" x14ac:dyDescent="0.3">
      <c r="A556" s="7"/>
      <c r="B556" s="7"/>
      <c r="C556" s="1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8"/>
      <c r="BX556" s="7"/>
      <c r="BY556" s="7"/>
      <c r="BZ556" s="7"/>
      <c r="CA556" s="7"/>
      <c r="CB556" s="7"/>
      <c r="CC556" s="7"/>
    </row>
    <row r="557" spans="1:81" ht="12" customHeight="1" x14ac:dyDescent="0.3">
      <c r="A557" s="7"/>
      <c r="B557" s="7"/>
      <c r="C557" s="1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8"/>
      <c r="BX557" s="7"/>
      <c r="BY557" s="7"/>
      <c r="BZ557" s="7"/>
      <c r="CA557" s="7"/>
      <c r="CB557" s="7"/>
      <c r="CC557" s="7"/>
    </row>
    <row r="558" spans="1:81" ht="12" customHeight="1" x14ac:dyDescent="0.3">
      <c r="A558" s="7"/>
      <c r="B558" s="7"/>
      <c r="C558" s="1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8"/>
      <c r="BX558" s="7"/>
      <c r="BY558" s="7"/>
      <c r="BZ558" s="7"/>
      <c r="CA558" s="7"/>
      <c r="CB558" s="7"/>
      <c r="CC558" s="7"/>
    </row>
    <row r="559" spans="1:81" ht="12" customHeight="1" x14ac:dyDescent="0.3">
      <c r="A559" s="7"/>
      <c r="B559" s="7"/>
      <c r="C559" s="1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8"/>
      <c r="BX559" s="7"/>
      <c r="BY559" s="7"/>
      <c r="BZ559" s="7"/>
      <c r="CA559" s="7"/>
      <c r="CB559" s="7"/>
      <c r="CC559" s="7"/>
    </row>
    <row r="560" spans="1:81" ht="12" customHeight="1" x14ac:dyDescent="0.3">
      <c r="A560" s="7"/>
      <c r="B560" s="7"/>
      <c r="C560" s="1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8"/>
      <c r="BX560" s="7"/>
      <c r="BY560" s="7"/>
      <c r="BZ560" s="7"/>
      <c r="CA560" s="7"/>
      <c r="CB560" s="7"/>
      <c r="CC560" s="7"/>
    </row>
    <row r="561" spans="1:81" ht="12" customHeight="1" x14ac:dyDescent="0.3">
      <c r="A561" s="7"/>
      <c r="B561" s="7"/>
      <c r="C561" s="1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8"/>
      <c r="BX561" s="7"/>
      <c r="BY561" s="7"/>
      <c r="BZ561" s="7"/>
      <c r="CA561" s="7"/>
      <c r="CB561" s="7"/>
      <c r="CC561" s="7"/>
    </row>
    <row r="562" spans="1:81" ht="12" customHeight="1" x14ac:dyDescent="0.3">
      <c r="A562" s="7"/>
      <c r="B562" s="7"/>
      <c r="C562" s="1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8"/>
      <c r="BX562" s="7"/>
      <c r="BY562" s="7"/>
      <c r="BZ562" s="7"/>
      <c r="CA562" s="7"/>
      <c r="CB562" s="7"/>
      <c r="CC562" s="7"/>
    </row>
    <row r="563" spans="1:81" ht="12" customHeight="1" x14ac:dyDescent="0.3">
      <c r="A563" s="7"/>
      <c r="B563" s="7"/>
      <c r="C563" s="1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8"/>
      <c r="BX563" s="7"/>
      <c r="BY563" s="7"/>
      <c r="BZ563" s="7"/>
      <c r="CA563" s="7"/>
      <c r="CB563" s="7"/>
      <c r="CC563" s="7"/>
    </row>
    <row r="564" spans="1:81" ht="12" customHeight="1" x14ac:dyDescent="0.3">
      <c r="A564" s="7"/>
      <c r="B564" s="7"/>
      <c r="C564" s="1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8"/>
      <c r="BX564" s="7"/>
      <c r="BY564" s="7"/>
      <c r="BZ564" s="7"/>
      <c r="CA564" s="7"/>
      <c r="CB564" s="7"/>
      <c r="CC564" s="7"/>
    </row>
    <row r="565" spans="1:81" ht="12" customHeight="1" x14ac:dyDescent="0.3">
      <c r="A565" s="7"/>
      <c r="B565" s="7"/>
      <c r="C565" s="1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8"/>
      <c r="BX565" s="7"/>
      <c r="BY565" s="7"/>
      <c r="BZ565" s="7"/>
      <c r="CA565" s="7"/>
      <c r="CB565" s="7"/>
      <c r="CC565" s="7"/>
    </row>
    <row r="566" spans="1:81" ht="12" customHeight="1" x14ac:dyDescent="0.3">
      <c r="A566" s="7"/>
      <c r="B566" s="7"/>
      <c r="C566" s="1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8"/>
      <c r="BX566" s="7"/>
      <c r="BY566" s="7"/>
      <c r="BZ566" s="7"/>
      <c r="CA566" s="7"/>
      <c r="CB566" s="7"/>
      <c r="CC566" s="7"/>
    </row>
    <row r="567" spans="1:81" ht="12" customHeight="1" x14ac:dyDescent="0.3">
      <c r="A567" s="7"/>
      <c r="B567" s="7"/>
      <c r="C567" s="1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8"/>
      <c r="BX567" s="7"/>
      <c r="BY567" s="7"/>
      <c r="BZ567" s="7"/>
      <c r="CA567" s="7"/>
      <c r="CB567" s="7"/>
      <c r="CC567" s="7"/>
    </row>
    <row r="568" spans="1:81" ht="12" customHeight="1" x14ac:dyDescent="0.3">
      <c r="A568" s="7"/>
      <c r="B568" s="7"/>
      <c r="C568" s="1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8"/>
      <c r="BX568" s="7"/>
      <c r="BY568" s="7"/>
      <c r="BZ568" s="7"/>
      <c r="CA568" s="7"/>
      <c r="CB568" s="7"/>
      <c r="CC568" s="7"/>
    </row>
    <row r="569" spans="1:81" ht="12" customHeight="1" x14ac:dyDescent="0.3">
      <c r="A569" s="7"/>
      <c r="B569" s="7"/>
      <c r="C569" s="1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8"/>
      <c r="BX569" s="7"/>
      <c r="BY569" s="7"/>
      <c r="BZ569" s="7"/>
      <c r="CA569" s="7"/>
      <c r="CB569" s="7"/>
      <c r="CC569" s="7"/>
    </row>
    <row r="570" spans="1:81" ht="12" customHeight="1" x14ac:dyDescent="0.3">
      <c r="A570" s="7"/>
      <c r="B570" s="7"/>
      <c r="C570" s="1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8"/>
      <c r="BX570" s="7"/>
      <c r="BY570" s="7"/>
      <c r="BZ570" s="7"/>
      <c r="CA570" s="7"/>
      <c r="CB570" s="7"/>
      <c r="CC570" s="7"/>
    </row>
    <row r="571" spans="1:81" ht="12" customHeight="1" x14ac:dyDescent="0.3">
      <c r="A571" s="7"/>
      <c r="B571" s="7"/>
      <c r="C571" s="1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8"/>
      <c r="BX571" s="7"/>
      <c r="BY571" s="7"/>
      <c r="BZ571" s="7"/>
      <c r="CA571" s="7"/>
      <c r="CB571" s="7"/>
      <c r="CC571" s="7"/>
    </row>
    <row r="572" spans="1:81" ht="12" customHeight="1" x14ac:dyDescent="0.3">
      <c r="A572" s="7"/>
      <c r="B572" s="7"/>
      <c r="C572" s="1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8"/>
      <c r="BX572" s="7"/>
      <c r="BY572" s="7"/>
      <c r="BZ572" s="7"/>
      <c r="CA572" s="7"/>
      <c r="CB572" s="7"/>
      <c r="CC572" s="7"/>
    </row>
    <row r="573" spans="1:81" ht="12" customHeight="1" x14ac:dyDescent="0.3">
      <c r="A573" s="7"/>
      <c r="B573" s="7"/>
      <c r="C573" s="1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8"/>
      <c r="BX573" s="7"/>
      <c r="BY573" s="7"/>
      <c r="BZ573" s="7"/>
      <c r="CA573" s="7"/>
      <c r="CB573" s="7"/>
      <c r="CC573" s="7"/>
    </row>
    <row r="574" spans="1:81" ht="12" customHeight="1" x14ac:dyDescent="0.3">
      <c r="A574" s="7"/>
      <c r="B574" s="7"/>
      <c r="C574" s="1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8"/>
      <c r="BX574" s="7"/>
      <c r="BY574" s="7"/>
      <c r="BZ574" s="7"/>
      <c r="CA574" s="7"/>
      <c r="CB574" s="7"/>
      <c r="CC574" s="7"/>
    </row>
    <row r="575" spans="1:81" ht="12" customHeight="1" x14ac:dyDescent="0.3">
      <c r="A575" s="7"/>
      <c r="B575" s="7"/>
      <c r="C575" s="1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8"/>
      <c r="BX575" s="7"/>
      <c r="BY575" s="7"/>
      <c r="BZ575" s="7"/>
      <c r="CA575" s="7"/>
      <c r="CB575" s="7"/>
      <c r="CC575" s="7"/>
    </row>
    <row r="576" spans="1:81" ht="12" customHeight="1" x14ac:dyDescent="0.3">
      <c r="A576" s="7"/>
      <c r="B576" s="7"/>
      <c r="C576" s="1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8"/>
      <c r="BX576" s="7"/>
      <c r="BY576" s="7"/>
      <c r="BZ576" s="7"/>
      <c r="CA576" s="7"/>
      <c r="CB576" s="7"/>
      <c r="CC576" s="7"/>
    </row>
    <row r="577" spans="1:81" ht="12" customHeight="1" x14ac:dyDescent="0.3">
      <c r="A577" s="7"/>
      <c r="B577" s="7"/>
      <c r="C577" s="1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8"/>
      <c r="BX577" s="7"/>
      <c r="BY577" s="7"/>
      <c r="BZ577" s="7"/>
      <c r="CA577" s="7"/>
      <c r="CB577" s="7"/>
      <c r="CC577" s="7"/>
    </row>
    <row r="578" spans="1:81" ht="12" customHeight="1" x14ac:dyDescent="0.3">
      <c r="A578" s="7"/>
      <c r="B578" s="7"/>
      <c r="C578" s="1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8"/>
      <c r="BX578" s="7"/>
      <c r="BY578" s="7"/>
      <c r="BZ578" s="7"/>
      <c r="CA578" s="7"/>
      <c r="CB578" s="7"/>
      <c r="CC578" s="7"/>
    </row>
    <row r="579" spans="1:81" ht="12" customHeight="1" x14ac:dyDescent="0.3">
      <c r="A579" s="7"/>
      <c r="B579" s="7"/>
      <c r="C579" s="1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8"/>
      <c r="BX579" s="7"/>
      <c r="BY579" s="7"/>
      <c r="BZ579" s="7"/>
      <c r="CA579" s="7"/>
      <c r="CB579" s="7"/>
      <c r="CC579" s="7"/>
    </row>
    <row r="580" spans="1:81" ht="12" customHeight="1" x14ac:dyDescent="0.3">
      <c r="A580" s="7"/>
      <c r="B580" s="7"/>
      <c r="C580" s="1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8"/>
      <c r="BX580" s="7"/>
      <c r="BY580" s="7"/>
      <c r="BZ580" s="7"/>
      <c r="CA580" s="7"/>
      <c r="CB580" s="7"/>
      <c r="CC580" s="7"/>
    </row>
    <row r="581" spans="1:81" ht="12" customHeight="1" x14ac:dyDescent="0.3">
      <c r="A581" s="7"/>
      <c r="B581" s="7"/>
      <c r="C581" s="1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8"/>
      <c r="BX581" s="7"/>
      <c r="BY581" s="7"/>
      <c r="BZ581" s="7"/>
      <c r="CA581" s="7"/>
      <c r="CB581" s="7"/>
      <c r="CC581" s="7"/>
    </row>
    <row r="582" spans="1:81" ht="12" customHeight="1" x14ac:dyDescent="0.3">
      <c r="A582" s="7"/>
      <c r="B582" s="7"/>
      <c r="C582" s="1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8"/>
      <c r="BX582" s="7"/>
      <c r="BY582" s="7"/>
      <c r="BZ582" s="7"/>
      <c r="CA582" s="7"/>
      <c r="CB582" s="7"/>
      <c r="CC582" s="7"/>
    </row>
    <row r="583" spans="1:81" ht="12" customHeight="1" x14ac:dyDescent="0.3">
      <c r="A583" s="7"/>
      <c r="B583" s="7"/>
      <c r="C583" s="1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8"/>
      <c r="BX583" s="7"/>
      <c r="BY583" s="7"/>
      <c r="BZ583" s="7"/>
      <c r="CA583" s="7"/>
      <c r="CB583" s="7"/>
      <c r="CC583" s="7"/>
    </row>
    <row r="584" spans="1:81" ht="12" customHeight="1" x14ac:dyDescent="0.3">
      <c r="A584" s="7"/>
      <c r="B584" s="7"/>
      <c r="C584" s="1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8"/>
      <c r="BX584" s="7"/>
      <c r="BY584" s="7"/>
      <c r="BZ584" s="7"/>
      <c r="CA584" s="7"/>
      <c r="CB584" s="7"/>
      <c r="CC584" s="7"/>
    </row>
    <row r="585" spans="1:81" ht="12" customHeight="1" x14ac:dyDescent="0.3">
      <c r="A585" s="7"/>
      <c r="B585" s="7"/>
      <c r="C585" s="1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8"/>
      <c r="BX585" s="7"/>
      <c r="BY585" s="7"/>
      <c r="BZ585" s="7"/>
      <c r="CA585" s="7"/>
      <c r="CB585" s="7"/>
      <c r="CC585" s="7"/>
    </row>
    <row r="586" spans="1:81" ht="12" customHeight="1" x14ac:dyDescent="0.3">
      <c r="A586" s="7"/>
      <c r="B586" s="7"/>
      <c r="C586" s="1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8"/>
      <c r="BX586" s="7"/>
      <c r="BY586" s="7"/>
      <c r="BZ586" s="7"/>
      <c r="CA586" s="7"/>
      <c r="CB586" s="7"/>
      <c r="CC586" s="7"/>
    </row>
    <row r="587" spans="1:81" ht="12" customHeight="1" x14ac:dyDescent="0.3">
      <c r="A587" s="7"/>
      <c r="B587" s="7"/>
      <c r="C587" s="1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8"/>
      <c r="BX587" s="7"/>
      <c r="BY587" s="7"/>
      <c r="BZ587" s="7"/>
      <c r="CA587" s="7"/>
      <c r="CB587" s="7"/>
      <c r="CC587" s="7"/>
    </row>
    <row r="588" spans="1:81" ht="12" customHeight="1" x14ac:dyDescent="0.3">
      <c r="A588" s="7"/>
      <c r="B588" s="7"/>
      <c r="C588" s="1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8"/>
      <c r="BX588" s="7"/>
      <c r="BY588" s="7"/>
      <c r="BZ588" s="7"/>
      <c r="CA588" s="7"/>
      <c r="CB588" s="7"/>
      <c r="CC588" s="7"/>
    </row>
    <row r="589" spans="1:81" ht="12" customHeight="1" x14ac:dyDescent="0.3">
      <c r="A589" s="7"/>
      <c r="B589" s="7"/>
      <c r="C589" s="1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8"/>
      <c r="BX589" s="7"/>
      <c r="BY589" s="7"/>
      <c r="BZ589" s="7"/>
      <c r="CA589" s="7"/>
      <c r="CB589" s="7"/>
      <c r="CC589" s="7"/>
    </row>
    <row r="590" spans="1:81" ht="12" customHeight="1" x14ac:dyDescent="0.3">
      <c r="A590" s="7"/>
      <c r="B590" s="7"/>
      <c r="C590" s="1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8"/>
      <c r="BX590" s="7"/>
      <c r="BY590" s="7"/>
      <c r="BZ590" s="7"/>
      <c r="CA590" s="7"/>
      <c r="CB590" s="7"/>
      <c r="CC590" s="7"/>
    </row>
    <row r="591" spans="1:81" ht="12" customHeight="1" x14ac:dyDescent="0.3">
      <c r="A591" s="7"/>
      <c r="B591" s="7"/>
      <c r="C591" s="1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8"/>
      <c r="BX591" s="7"/>
      <c r="BY591" s="7"/>
      <c r="BZ591" s="7"/>
      <c r="CA591" s="7"/>
      <c r="CB591" s="7"/>
      <c r="CC591" s="7"/>
    </row>
    <row r="592" spans="1:81" ht="12" customHeight="1" x14ac:dyDescent="0.3">
      <c r="A592" s="7"/>
      <c r="B592" s="7"/>
      <c r="C592" s="1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8"/>
      <c r="BX592" s="7"/>
      <c r="BY592" s="7"/>
      <c r="BZ592" s="7"/>
      <c r="CA592" s="7"/>
      <c r="CB592" s="7"/>
      <c r="CC592" s="7"/>
    </row>
    <row r="593" spans="1:81" ht="12" customHeight="1" x14ac:dyDescent="0.3">
      <c r="A593" s="7"/>
      <c r="B593" s="7"/>
      <c r="C593" s="1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8"/>
      <c r="BX593" s="7"/>
      <c r="BY593" s="7"/>
      <c r="BZ593" s="7"/>
      <c r="CA593" s="7"/>
      <c r="CB593" s="7"/>
      <c r="CC593" s="7"/>
    </row>
    <row r="594" spans="1:81" ht="12" customHeight="1" x14ac:dyDescent="0.3">
      <c r="A594" s="7"/>
      <c r="B594" s="7"/>
      <c r="C594" s="1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8"/>
      <c r="BX594" s="7"/>
      <c r="BY594" s="7"/>
      <c r="BZ594" s="7"/>
      <c r="CA594" s="7"/>
      <c r="CB594" s="7"/>
      <c r="CC594" s="7"/>
    </row>
    <row r="595" spans="1:81" ht="12" customHeight="1" x14ac:dyDescent="0.3">
      <c r="A595" s="7"/>
      <c r="B595" s="7"/>
      <c r="C595" s="1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8"/>
      <c r="BX595" s="7"/>
      <c r="BY595" s="7"/>
      <c r="BZ595" s="7"/>
      <c r="CA595" s="7"/>
      <c r="CB595" s="7"/>
      <c r="CC595" s="7"/>
    </row>
    <row r="596" spans="1:81" ht="12" customHeight="1" x14ac:dyDescent="0.3">
      <c r="A596" s="7"/>
      <c r="B596" s="7"/>
      <c r="C596" s="1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8"/>
      <c r="BX596" s="7"/>
      <c r="BY596" s="7"/>
      <c r="BZ596" s="7"/>
      <c r="CA596" s="7"/>
      <c r="CB596" s="7"/>
      <c r="CC596" s="7"/>
    </row>
    <row r="597" spans="1:81" ht="12" customHeight="1" x14ac:dyDescent="0.3">
      <c r="A597" s="7"/>
      <c r="B597" s="7"/>
      <c r="C597" s="11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8"/>
      <c r="BX597" s="7"/>
      <c r="BY597" s="7"/>
      <c r="BZ597" s="7"/>
      <c r="CA597" s="7"/>
      <c r="CB597" s="7"/>
      <c r="CC597" s="7"/>
    </row>
    <row r="598" spans="1:81" ht="12" customHeight="1" x14ac:dyDescent="0.3">
      <c r="A598" s="7"/>
      <c r="B598" s="7"/>
      <c r="C598" s="11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8"/>
      <c r="BX598" s="7"/>
      <c r="BY598" s="7"/>
      <c r="BZ598" s="7"/>
      <c r="CA598" s="7"/>
      <c r="CB598" s="7"/>
      <c r="CC598" s="7"/>
    </row>
    <row r="599" spans="1:81" ht="12" customHeight="1" x14ac:dyDescent="0.3">
      <c r="A599" s="7"/>
      <c r="B599" s="7"/>
      <c r="C599" s="11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8"/>
      <c r="BX599" s="7"/>
      <c r="BY599" s="7"/>
      <c r="BZ599" s="7"/>
      <c r="CA599" s="7"/>
      <c r="CB599" s="7"/>
      <c r="CC599" s="7"/>
    </row>
    <row r="600" spans="1:81" ht="12" customHeight="1" x14ac:dyDescent="0.3">
      <c r="A600" s="7"/>
      <c r="B600" s="7"/>
      <c r="C600" s="11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8"/>
      <c r="BX600" s="7"/>
      <c r="BY600" s="7"/>
      <c r="BZ600" s="7"/>
      <c r="CA600" s="7"/>
      <c r="CB600" s="7"/>
      <c r="CC600" s="7"/>
    </row>
    <row r="601" spans="1:81" ht="12" customHeight="1" x14ac:dyDescent="0.3">
      <c r="A601" s="7"/>
      <c r="B601" s="7"/>
      <c r="C601" s="11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8"/>
      <c r="BX601" s="7"/>
      <c r="BY601" s="7"/>
      <c r="BZ601" s="7"/>
      <c r="CA601" s="7"/>
      <c r="CB601" s="7"/>
      <c r="CC601" s="7"/>
    </row>
    <row r="602" spans="1:81" ht="12" customHeight="1" x14ac:dyDescent="0.3">
      <c r="A602" s="7"/>
      <c r="B602" s="7"/>
      <c r="C602" s="11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8"/>
      <c r="BX602" s="7"/>
      <c r="BY602" s="7"/>
      <c r="BZ602" s="7"/>
      <c r="CA602" s="7"/>
      <c r="CB602" s="7"/>
      <c r="CC602" s="7"/>
    </row>
    <row r="603" spans="1:81" ht="12" customHeight="1" x14ac:dyDescent="0.3">
      <c r="A603" s="7"/>
      <c r="B603" s="7"/>
      <c r="C603" s="11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8"/>
      <c r="BX603" s="7"/>
      <c r="BY603" s="7"/>
      <c r="BZ603" s="7"/>
      <c r="CA603" s="7"/>
      <c r="CB603" s="7"/>
      <c r="CC603" s="7"/>
    </row>
    <row r="604" spans="1:81" ht="12" customHeight="1" x14ac:dyDescent="0.3">
      <c r="A604" s="7"/>
      <c r="B604" s="7"/>
      <c r="C604" s="11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8"/>
      <c r="BX604" s="7"/>
      <c r="BY604" s="7"/>
      <c r="BZ604" s="7"/>
      <c r="CA604" s="7"/>
      <c r="CB604" s="7"/>
      <c r="CC604" s="7"/>
    </row>
    <row r="605" spans="1:81" ht="12" customHeight="1" x14ac:dyDescent="0.3">
      <c r="A605" s="7"/>
      <c r="B605" s="7"/>
      <c r="C605" s="11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8"/>
      <c r="BX605" s="7"/>
      <c r="BY605" s="7"/>
      <c r="BZ605" s="7"/>
      <c r="CA605" s="7"/>
      <c r="CB605" s="7"/>
      <c r="CC605" s="7"/>
    </row>
    <row r="606" spans="1:81" ht="12" customHeight="1" x14ac:dyDescent="0.3">
      <c r="A606" s="7"/>
      <c r="B606" s="7"/>
      <c r="C606" s="11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8"/>
      <c r="BX606" s="7"/>
      <c r="BY606" s="7"/>
      <c r="BZ606" s="7"/>
      <c r="CA606" s="7"/>
      <c r="CB606" s="7"/>
      <c r="CC606" s="7"/>
    </row>
    <row r="607" spans="1:81" ht="12" customHeight="1" x14ac:dyDescent="0.3">
      <c r="A607" s="7"/>
      <c r="B607" s="7"/>
      <c r="C607" s="11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8"/>
      <c r="BX607" s="7"/>
      <c r="BY607" s="7"/>
      <c r="BZ607" s="7"/>
      <c r="CA607" s="7"/>
      <c r="CB607" s="7"/>
      <c r="CC607" s="7"/>
    </row>
    <row r="608" spans="1:81" ht="12" customHeight="1" x14ac:dyDescent="0.3">
      <c r="A608" s="7"/>
      <c r="B608" s="7"/>
      <c r="C608" s="11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8"/>
      <c r="BX608" s="7"/>
      <c r="BY608" s="7"/>
      <c r="BZ608" s="7"/>
      <c r="CA608" s="7"/>
      <c r="CB608" s="7"/>
      <c r="CC608" s="7"/>
    </row>
    <row r="609" spans="1:81" ht="12" customHeight="1" x14ac:dyDescent="0.3">
      <c r="A609" s="7"/>
      <c r="B609" s="7"/>
      <c r="C609" s="11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8"/>
      <c r="BX609" s="7"/>
      <c r="BY609" s="7"/>
      <c r="BZ609" s="7"/>
      <c r="CA609" s="7"/>
      <c r="CB609" s="7"/>
      <c r="CC609" s="7"/>
    </row>
    <row r="610" spans="1:81" ht="12" customHeight="1" x14ac:dyDescent="0.3">
      <c r="A610" s="7"/>
      <c r="B610" s="7"/>
      <c r="C610" s="11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8"/>
      <c r="BX610" s="7"/>
      <c r="BY610" s="7"/>
      <c r="BZ610" s="7"/>
      <c r="CA610" s="7"/>
      <c r="CB610" s="7"/>
      <c r="CC610" s="7"/>
    </row>
    <row r="611" spans="1:81" ht="12" customHeight="1" x14ac:dyDescent="0.3">
      <c r="A611" s="7"/>
      <c r="B611" s="7"/>
      <c r="C611" s="11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8"/>
      <c r="BX611" s="7"/>
      <c r="BY611" s="7"/>
      <c r="BZ611" s="7"/>
      <c r="CA611" s="7"/>
      <c r="CB611" s="7"/>
      <c r="CC611" s="7"/>
    </row>
    <row r="612" spans="1:81" ht="12" customHeight="1" x14ac:dyDescent="0.3">
      <c r="A612" s="7"/>
      <c r="B612" s="7"/>
      <c r="C612" s="11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8"/>
      <c r="BX612" s="7"/>
      <c r="BY612" s="7"/>
      <c r="BZ612" s="7"/>
      <c r="CA612" s="7"/>
      <c r="CB612" s="7"/>
      <c r="CC612" s="7"/>
    </row>
    <row r="613" spans="1:81" ht="12" customHeight="1" x14ac:dyDescent="0.3">
      <c r="A613" s="7"/>
      <c r="B613" s="7"/>
      <c r="C613" s="11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8"/>
      <c r="BX613" s="7"/>
      <c r="BY613" s="7"/>
      <c r="BZ613" s="7"/>
      <c r="CA613" s="7"/>
      <c r="CB613" s="7"/>
      <c r="CC613" s="7"/>
    </row>
    <row r="614" spans="1:81" ht="12" customHeight="1" x14ac:dyDescent="0.3">
      <c r="A614" s="7"/>
      <c r="B614" s="7"/>
      <c r="C614" s="11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8"/>
      <c r="BX614" s="7"/>
      <c r="BY614" s="7"/>
      <c r="BZ614" s="7"/>
      <c r="CA614" s="7"/>
      <c r="CB614" s="7"/>
      <c r="CC614" s="7"/>
    </row>
    <row r="615" spans="1:81" ht="12" customHeight="1" x14ac:dyDescent="0.3">
      <c r="A615" s="7"/>
      <c r="B615" s="7"/>
      <c r="C615" s="11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8"/>
      <c r="BX615" s="7"/>
      <c r="BY615" s="7"/>
      <c r="BZ615" s="7"/>
      <c r="CA615" s="7"/>
      <c r="CB615" s="7"/>
      <c r="CC615" s="7"/>
    </row>
    <row r="616" spans="1:81" ht="12" customHeight="1" x14ac:dyDescent="0.3">
      <c r="A616" s="7"/>
      <c r="B616" s="7"/>
      <c r="C616" s="11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8"/>
      <c r="BX616" s="7"/>
      <c r="BY616" s="7"/>
      <c r="BZ616" s="7"/>
      <c r="CA616" s="7"/>
      <c r="CB616" s="7"/>
      <c r="CC616" s="7"/>
    </row>
    <row r="617" spans="1:81" ht="12" customHeight="1" x14ac:dyDescent="0.3">
      <c r="A617" s="7"/>
      <c r="B617" s="7"/>
      <c r="C617" s="11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8"/>
      <c r="BX617" s="7"/>
      <c r="BY617" s="7"/>
      <c r="BZ617" s="7"/>
      <c r="CA617" s="7"/>
      <c r="CB617" s="7"/>
      <c r="CC617" s="7"/>
    </row>
    <row r="618" spans="1:81" ht="12" customHeight="1" x14ac:dyDescent="0.3">
      <c r="A618" s="7"/>
      <c r="B618" s="7"/>
      <c r="C618" s="11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8"/>
      <c r="BX618" s="7"/>
      <c r="BY618" s="7"/>
      <c r="BZ618" s="7"/>
      <c r="CA618" s="7"/>
      <c r="CB618" s="7"/>
      <c r="CC618" s="7"/>
    </row>
    <row r="619" spans="1:81" ht="12" customHeight="1" x14ac:dyDescent="0.3">
      <c r="A619" s="7"/>
      <c r="B619" s="7"/>
      <c r="C619" s="11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8"/>
      <c r="BX619" s="7"/>
      <c r="BY619" s="7"/>
      <c r="BZ619" s="7"/>
      <c r="CA619" s="7"/>
      <c r="CB619" s="7"/>
      <c r="CC619" s="7"/>
    </row>
    <row r="620" spans="1:81" ht="12" customHeight="1" x14ac:dyDescent="0.3">
      <c r="A620" s="7"/>
      <c r="B620" s="7"/>
      <c r="C620" s="11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8"/>
      <c r="BX620" s="7"/>
      <c r="BY620" s="7"/>
      <c r="BZ620" s="7"/>
      <c r="CA620" s="7"/>
      <c r="CB620" s="7"/>
      <c r="CC620" s="7"/>
    </row>
    <row r="621" spans="1:81" ht="12" customHeight="1" x14ac:dyDescent="0.3">
      <c r="A621" s="7"/>
      <c r="B621" s="7"/>
      <c r="C621" s="11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8"/>
      <c r="BX621" s="7"/>
      <c r="BY621" s="7"/>
      <c r="BZ621" s="7"/>
      <c r="CA621" s="7"/>
      <c r="CB621" s="7"/>
      <c r="CC621" s="7"/>
    </row>
    <row r="622" spans="1:81" ht="12" customHeight="1" x14ac:dyDescent="0.3">
      <c r="A622" s="7"/>
      <c r="B622" s="7"/>
      <c r="C622" s="11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8"/>
      <c r="BX622" s="7"/>
      <c r="BY622" s="7"/>
      <c r="BZ622" s="7"/>
      <c r="CA622" s="7"/>
      <c r="CB622" s="7"/>
      <c r="CC622" s="7"/>
    </row>
    <row r="623" spans="1:81" ht="12" customHeight="1" x14ac:dyDescent="0.3">
      <c r="A623" s="7"/>
      <c r="B623" s="7"/>
      <c r="C623" s="11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8"/>
      <c r="BX623" s="7"/>
      <c r="BY623" s="7"/>
      <c r="BZ623" s="7"/>
      <c r="CA623" s="7"/>
      <c r="CB623" s="7"/>
      <c r="CC623" s="7"/>
    </row>
    <row r="624" spans="1:81" ht="12" customHeight="1" x14ac:dyDescent="0.3">
      <c r="A624" s="7"/>
      <c r="B624" s="7"/>
      <c r="C624" s="11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8"/>
      <c r="BX624" s="7"/>
      <c r="BY624" s="7"/>
      <c r="BZ624" s="7"/>
      <c r="CA624" s="7"/>
      <c r="CB624" s="7"/>
      <c r="CC624" s="7"/>
    </row>
    <row r="625" spans="1:81" ht="12" customHeight="1" x14ac:dyDescent="0.3">
      <c r="A625" s="7"/>
      <c r="B625" s="7"/>
      <c r="C625" s="11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8"/>
      <c r="BX625" s="7"/>
      <c r="BY625" s="7"/>
      <c r="BZ625" s="7"/>
      <c r="CA625" s="7"/>
      <c r="CB625" s="7"/>
      <c r="CC625" s="7"/>
    </row>
    <row r="626" spans="1:81" ht="12" customHeight="1" x14ac:dyDescent="0.3">
      <c r="A626" s="7"/>
      <c r="B626" s="7"/>
      <c r="C626" s="11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8"/>
      <c r="BX626" s="7"/>
      <c r="BY626" s="7"/>
      <c r="BZ626" s="7"/>
      <c r="CA626" s="7"/>
      <c r="CB626" s="7"/>
      <c r="CC626" s="7"/>
    </row>
    <row r="627" spans="1:81" ht="12" customHeight="1" x14ac:dyDescent="0.3">
      <c r="A627" s="7"/>
      <c r="B627" s="7"/>
      <c r="C627" s="11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8"/>
      <c r="BX627" s="7"/>
      <c r="BY627" s="7"/>
      <c r="BZ627" s="7"/>
      <c r="CA627" s="7"/>
      <c r="CB627" s="7"/>
      <c r="CC627" s="7"/>
    </row>
    <row r="628" spans="1:81" ht="12" customHeight="1" x14ac:dyDescent="0.3">
      <c r="A628" s="7"/>
      <c r="B628" s="7"/>
      <c r="C628" s="11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8"/>
      <c r="BX628" s="7"/>
      <c r="BY628" s="7"/>
      <c r="BZ628" s="7"/>
      <c r="CA628" s="7"/>
      <c r="CB628" s="7"/>
      <c r="CC628" s="7"/>
    </row>
    <row r="629" spans="1:81" ht="12" customHeight="1" x14ac:dyDescent="0.3">
      <c r="A629" s="7"/>
      <c r="B629" s="7"/>
      <c r="C629" s="11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8"/>
      <c r="BX629" s="7"/>
      <c r="BY629" s="7"/>
      <c r="BZ629" s="7"/>
      <c r="CA629" s="7"/>
      <c r="CB629" s="7"/>
      <c r="CC629" s="7"/>
    </row>
    <row r="630" spans="1:81" ht="12" customHeight="1" x14ac:dyDescent="0.3">
      <c r="A630" s="7"/>
      <c r="B630" s="7"/>
      <c r="C630" s="1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8"/>
      <c r="BX630" s="7"/>
      <c r="BY630" s="7"/>
      <c r="BZ630" s="7"/>
      <c r="CA630" s="7"/>
      <c r="CB630" s="7"/>
      <c r="CC630" s="7"/>
    </row>
    <row r="631" spans="1:81" ht="12" customHeight="1" x14ac:dyDescent="0.3">
      <c r="A631" s="7"/>
      <c r="B631" s="7"/>
      <c r="C631" s="1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8"/>
      <c r="BX631" s="7"/>
      <c r="BY631" s="7"/>
      <c r="BZ631" s="7"/>
      <c r="CA631" s="7"/>
      <c r="CB631" s="7"/>
      <c r="CC631" s="7"/>
    </row>
    <row r="632" spans="1:81" ht="12" customHeight="1" x14ac:dyDescent="0.3">
      <c r="A632" s="7"/>
      <c r="B632" s="7"/>
      <c r="C632" s="1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8"/>
      <c r="BX632" s="7"/>
      <c r="BY632" s="7"/>
      <c r="BZ632" s="7"/>
      <c r="CA632" s="7"/>
      <c r="CB632" s="7"/>
      <c r="CC632" s="7"/>
    </row>
    <row r="633" spans="1:81" ht="12" customHeight="1" x14ac:dyDescent="0.3">
      <c r="A633" s="7"/>
      <c r="B633" s="7"/>
      <c r="C633" s="1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8"/>
      <c r="BX633" s="7"/>
      <c r="BY633" s="7"/>
      <c r="BZ633" s="7"/>
      <c r="CA633" s="7"/>
      <c r="CB633" s="7"/>
      <c r="CC633" s="7"/>
    </row>
    <row r="634" spans="1:81" ht="12" customHeight="1" x14ac:dyDescent="0.3">
      <c r="A634" s="7"/>
      <c r="B634" s="7"/>
      <c r="C634" s="1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8"/>
      <c r="BX634" s="7"/>
      <c r="BY634" s="7"/>
      <c r="BZ634" s="7"/>
      <c r="CA634" s="7"/>
      <c r="CB634" s="7"/>
      <c r="CC634" s="7"/>
    </row>
    <row r="635" spans="1:81" ht="12" customHeight="1" x14ac:dyDescent="0.3">
      <c r="A635" s="7"/>
      <c r="B635" s="7"/>
      <c r="C635" s="1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8"/>
      <c r="BX635" s="7"/>
      <c r="BY635" s="7"/>
      <c r="BZ635" s="7"/>
      <c r="CA635" s="7"/>
      <c r="CB635" s="7"/>
      <c r="CC635" s="7"/>
    </row>
    <row r="636" spans="1:81" ht="12" customHeight="1" x14ac:dyDescent="0.3">
      <c r="A636" s="7"/>
      <c r="B636" s="7"/>
      <c r="C636" s="1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8"/>
      <c r="BX636" s="7"/>
      <c r="BY636" s="7"/>
      <c r="BZ636" s="7"/>
      <c r="CA636" s="7"/>
      <c r="CB636" s="7"/>
      <c r="CC636" s="7"/>
    </row>
    <row r="637" spans="1:81" ht="12" customHeight="1" x14ac:dyDescent="0.3">
      <c r="A637" s="7"/>
      <c r="B637" s="7"/>
      <c r="C637" s="1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8"/>
      <c r="BX637" s="7"/>
      <c r="BY637" s="7"/>
      <c r="BZ637" s="7"/>
      <c r="CA637" s="7"/>
      <c r="CB637" s="7"/>
      <c r="CC637" s="7"/>
    </row>
    <row r="638" spans="1:81" ht="12" customHeight="1" x14ac:dyDescent="0.3">
      <c r="A638" s="7"/>
      <c r="B638" s="7"/>
      <c r="C638" s="1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8"/>
      <c r="BX638" s="7"/>
      <c r="BY638" s="7"/>
      <c r="BZ638" s="7"/>
      <c r="CA638" s="7"/>
      <c r="CB638" s="7"/>
      <c r="CC638" s="7"/>
    </row>
    <row r="639" spans="1:81" ht="12" customHeight="1" x14ac:dyDescent="0.3">
      <c r="A639" s="7"/>
      <c r="B639" s="7"/>
      <c r="C639" s="1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8"/>
      <c r="BX639" s="7"/>
      <c r="BY639" s="7"/>
      <c r="BZ639" s="7"/>
      <c r="CA639" s="7"/>
      <c r="CB639" s="7"/>
      <c r="CC639" s="7"/>
    </row>
    <row r="640" spans="1:81" ht="12" customHeight="1" x14ac:dyDescent="0.3">
      <c r="A640" s="7"/>
      <c r="B640" s="7"/>
      <c r="C640" s="1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8"/>
      <c r="BX640" s="7"/>
      <c r="BY640" s="7"/>
      <c r="BZ640" s="7"/>
      <c r="CA640" s="7"/>
      <c r="CB640" s="7"/>
      <c r="CC640" s="7"/>
    </row>
    <row r="641" spans="1:81" ht="12" customHeight="1" x14ac:dyDescent="0.3">
      <c r="A641" s="7"/>
      <c r="B641" s="7"/>
      <c r="C641" s="1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8"/>
      <c r="BX641" s="7"/>
      <c r="BY641" s="7"/>
      <c r="BZ641" s="7"/>
      <c r="CA641" s="7"/>
      <c r="CB641" s="7"/>
      <c r="CC641" s="7"/>
    </row>
    <row r="642" spans="1:81" ht="12" customHeight="1" x14ac:dyDescent="0.3">
      <c r="A642" s="7"/>
      <c r="B642" s="7"/>
      <c r="C642" s="1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8"/>
      <c r="BX642" s="7"/>
      <c r="BY642" s="7"/>
      <c r="BZ642" s="7"/>
      <c r="CA642" s="7"/>
      <c r="CB642" s="7"/>
      <c r="CC642" s="7"/>
    </row>
    <row r="643" spans="1:81" ht="12" customHeight="1" x14ac:dyDescent="0.3">
      <c r="A643" s="7"/>
      <c r="B643" s="7"/>
      <c r="C643" s="1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8"/>
      <c r="BX643" s="7"/>
      <c r="BY643" s="7"/>
      <c r="BZ643" s="7"/>
      <c r="CA643" s="7"/>
      <c r="CB643" s="7"/>
      <c r="CC643" s="7"/>
    </row>
    <row r="644" spans="1:81" ht="12" customHeight="1" x14ac:dyDescent="0.3">
      <c r="A644" s="7"/>
      <c r="B644" s="7"/>
      <c r="C644" s="1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8"/>
      <c r="BX644" s="7"/>
      <c r="BY644" s="7"/>
      <c r="BZ644" s="7"/>
      <c r="CA644" s="7"/>
      <c r="CB644" s="7"/>
      <c r="CC644" s="7"/>
    </row>
    <row r="645" spans="1:81" ht="12" customHeight="1" x14ac:dyDescent="0.3">
      <c r="A645" s="7"/>
      <c r="B645" s="7"/>
      <c r="C645" s="1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8"/>
      <c r="BX645" s="7"/>
      <c r="BY645" s="7"/>
      <c r="BZ645" s="7"/>
      <c r="CA645" s="7"/>
      <c r="CB645" s="7"/>
      <c r="CC645" s="7"/>
    </row>
    <row r="646" spans="1:81" ht="12" customHeight="1" x14ac:dyDescent="0.3">
      <c r="A646" s="7"/>
      <c r="B646" s="7"/>
      <c r="C646" s="1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8"/>
      <c r="BX646" s="7"/>
      <c r="BY646" s="7"/>
      <c r="BZ646" s="7"/>
      <c r="CA646" s="7"/>
      <c r="CB646" s="7"/>
      <c r="CC646" s="7"/>
    </row>
    <row r="647" spans="1:81" ht="12" customHeight="1" x14ac:dyDescent="0.3">
      <c r="A647" s="7"/>
      <c r="B647" s="7"/>
      <c r="C647" s="1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8"/>
      <c r="BX647" s="7"/>
      <c r="BY647" s="7"/>
      <c r="BZ647" s="7"/>
      <c r="CA647" s="7"/>
      <c r="CB647" s="7"/>
      <c r="CC647" s="7"/>
    </row>
    <row r="648" spans="1:81" ht="12" customHeight="1" x14ac:dyDescent="0.3">
      <c r="A648" s="7"/>
      <c r="B648" s="7"/>
      <c r="C648" s="1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8"/>
      <c r="BX648" s="7"/>
      <c r="BY648" s="7"/>
      <c r="BZ648" s="7"/>
      <c r="CA648" s="7"/>
      <c r="CB648" s="7"/>
      <c r="CC648" s="7"/>
    </row>
    <row r="649" spans="1:81" ht="12" customHeight="1" x14ac:dyDescent="0.3">
      <c r="A649" s="7"/>
      <c r="B649" s="7"/>
      <c r="C649" s="1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8"/>
      <c r="BX649" s="7"/>
      <c r="BY649" s="7"/>
      <c r="BZ649" s="7"/>
      <c r="CA649" s="7"/>
      <c r="CB649" s="7"/>
      <c r="CC649" s="7"/>
    </row>
    <row r="650" spans="1:81" ht="12" customHeight="1" x14ac:dyDescent="0.3">
      <c r="A650" s="7"/>
      <c r="B650" s="7"/>
      <c r="C650" s="1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8"/>
      <c r="BX650" s="7"/>
      <c r="BY650" s="7"/>
      <c r="BZ650" s="7"/>
      <c r="CA650" s="7"/>
      <c r="CB650" s="7"/>
      <c r="CC650" s="7"/>
    </row>
    <row r="651" spans="1:81" ht="12" customHeight="1" x14ac:dyDescent="0.3">
      <c r="A651" s="7"/>
      <c r="B651" s="7"/>
      <c r="C651" s="1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8"/>
      <c r="BX651" s="7"/>
      <c r="BY651" s="7"/>
      <c r="BZ651" s="7"/>
      <c r="CA651" s="7"/>
      <c r="CB651" s="7"/>
      <c r="CC651" s="7"/>
    </row>
    <row r="652" spans="1:81" ht="12" customHeight="1" x14ac:dyDescent="0.3">
      <c r="A652" s="7"/>
      <c r="B652" s="7"/>
      <c r="C652" s="1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8"/>
      <c r="BX652" s="7"/>
      <c r="BY652" s="7"/>
      <c r="BZ652" s="7"/>
      <c r="CA652" s="7"/>
      <c r="CB652" s="7"/>
      <c r="CC652" s="7"/>
    </row>
    <row r="653" spans="1:81" ht="12" customHeight="1" x14ac:dyDescent="0.3">
      <c r="A653" s="7"/>
      <c r="B653" s="7"/>
      <c r="C653" s="1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8"/>
      <c r="BX653" s="7"/>
      <c r="BY653" s="7"/>
      <c r="BZ653" s="7"/>
      <c r="CA653" s="7"/>
      <c r="CB653" s="7"/>
      <c r="CC653" s="7"/>
    </row>
    <row r="654" spans="1:81" ht="12" customHeight="1" x14ac:dyDescent="0.3">
      <c r="A654" s="7"/>
      <c r="B654" s="7"/>
      <c r="C654" s="1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8"/>
      <c r="BX654" s="7"/>
      <c r="BY654" s="7"/>
      <c r="BZ654" s="7"/>
      <c r="CA654" s="7"/>
      <c r="CB654" s="7"/>
      <c r="CC654" s="7"/>
    </row>
    <row r="655" spans="1:81" ht="12" customHeight="1" x14ac:dyDescent="0.3">
      <c r="A655" s="7"/>
      <c r="B655" s="7"/>
      <c r="C655" s="1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8"/>
      <c r="BX655" s="7"/>
      <c r="BY655" s="7"/>
      <c r="BZ655" s="7"/>
      <c r="CA655" s="7"/>
      <c r="CB655" s="7"/>
      <c r="CC655" s="7"/>
    </row>
    <row r="656" spans="1:81" ht="12" customHeight="1" x14ac:dyDescent="0.3">
      <c r="A656" s="7"/>
      <c r="B656" s="7"/>
      <c r="C656" s="1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8"/>
      <c r="BX656" s="7"/>
      <c r="BY656" s="7"/>
      <c r="BZ656" s="7"/>
      <c r="CA656" s="7"/>
      <c r="CB656" s="7"/>
      <c r="CC656" s="7"/>
    </row>
    <row r="657" spans="1:81" ht="12" customHeight="1" x14ac:dyDescent="0.3">
      <c r="A657" s="7"/>
      <c r="B657" s="7"/>
      <c r="C657" s="1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8"/>
      <c r="BX657" s="7"/>
      <c r="BY657" s="7"/>
      <c r="BZ657" s="7"/>
      <c r="CA657" s="7"/>
      <c r="CB657" s="7"/>
      <c r="CC657" s="7"/>
    </row>
    <row r="658" spans="1:81" ht="12" customHeight="1" x14ac:dyDescent="0.3">
      <c r="A658" s="7"/>
      <c r="B658" s="7"/>
      <c r="C658" s="1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8"/>
      <c r="BX658" s="7"/>
      <c r="BY658" s="7"/>
      <c r="BZ658" s="7"/>
      <c r="CA658" s="7"/>
      <c r="CB658" s="7"/>
      <c r="CC658" s="7"/>
    </row>
    <row r="659" spans="1:81" ht="12" customHeight="1" x14ac:dyDescent="0.3">
      <c r="A659" s="7"/>
      <c r="B659" s="7"/>
      <c r="C659" s="1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8"/>
      <c r="BX659" s="7"/>
      <c r="BY659" s="7"/>
      <c r="BZ659" s="7"/>
      <c r="CA659" s="7"/>
      <c r="CB659" s="7"/>
      <c r="CC659" s="7"/>
    </row>
    <row r="660" spans="1:81" ht="12" customHeight="1" x14ac:dyDescent="0.3">
      <c r="A660" s="7"/>
      <c r="B660" s="7"/>
      <c r="C660" s="1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8"/>
      <c r="BX660" s="7"/>
      <c r="BY660" s="7"/>
      <c r="BZ660" s="7"/>
      <c r="CA660" s="7"/>
      <c r="CB660" s="7"/>
      <c r="CC660" s="7"/>
    </row>
    <row r="661" spans="1:81" ht="12" customHeight="1" x14ac:dyDescent="0.3">
      <c r="A661" s="7"/>
      <c r="B661" s="7"/>
      <c r="C661" s="1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8"/>
      <c r="BX661" s="7"/>
      <c r="BY661" s="7"/>
      <c r="BZ661" s="7"/>
      <c r="CA661" s="7"/>
      <c r="CB661" s="7"/>
      <c r="CC661" s="7"/>
    </row>
    <row r="662" spans="1:81" ht="12" customHeight="1" x14ac:dyDescent="0.3">
      <c r="A662" s="7"/>
      <c r="B662" s="7"/>
      <c r="C662" s="1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8"/>
      <c r="BX662" s="7"/>
      <c r="BY662" s="7"/>
      <c r="BZ662" s="7"/>
      <c r="CA662" s="7"/>
      <c r="CB662" s="7"/>
      <c r="CC662" s="7"/>
    </row>
    <row r="663" spans="1:81" ht="12" customHeight="1" x14ac:dyDescent="0.3">
      <c r="A663" s="7"/>
      <c r="B663" s="7"/>
      <c r="C663" s="1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8"/>
      <c r="BX663" s="7"/>
      <c r="BY663" s="7"/>
      <c r="BZ663" s="7"/>
      <c r="CA663" s="7"/>
      <c r="CB663" s="7"/>
      <c r="CC663" s="7"/>
    </row>
    <row r="664" spans="1:81" ht="12" customHeight="1" x14ac:dyDescent="0.3">
      <c r="A664" s="7"/>
      <c r="B664" s="7"/>
      <c r="C664" s="1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8"/>
      <c r="BX664" s="7"/>
      <c r="BY664" s="7"/>
      <c r="BZ664" s="7"/>
      <c r="CA664" s="7"/>
      <c r="CB664" s="7"/>
      <c r="CC664" s="7"/>
    </row>
    <row r="665" spans="1:81" ht="12" customHeight="1" x14ac:dyDescent="0.3">
      <c r="A665" s="7"/>
      <c r="B665" s="7"/>
      <c r="C665" s="1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8"/>
      <c r="BX665" s="7"/>
      <c r="BY665" s="7"/>
      <c r="BZ665" s="7"/>
      <c r="CA665" s="7"/>
      <c r="CB665" s="7"/>
      <c r="CC665" s="7"/>
    </row>
    <row r="666" spans="1:81" ht="12" customHeight="1" x14ac:dyDescent="0.3">
      <c r="A666" s="7"/>
      <c r="B666" s="7"/>
      <c r="C666" s="1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8"/>
      <c r="BX666" s="7"/>
      <c r="BY666" s="7"/>
      <c r="BZ666" s="7"/>
      <c r="CA666" s="7"/>
      <c r="CB666" s="7"/>
      <c r="CC666" s="7"/>
    </row>
    <row r="667" spans="1:81" ht="12" customHeight="1" x14ac:dyDescent="0.3">
      <c r="A667" s="7"/>
      <c r="B667" s="7"/>
      <c r="C667" s="1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8"/>
      <c r="BX667" s="7"/>
      <c r="BY667" s="7"/>
      <c r="BZ667" s="7"/>
      <c r="CA667" s="7"/>
      <c r="CB667" s="7"/>
      <c r="CC667" s="7"/>
    </row>
    <row r="668" spans="1:81" ht="12" customHeight="1" x14ac:dyDescent="0.3">
      <c r="A668" s="7"/>
      <c r="B668" s="7"/>
      <c r="C668" s="1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8"/>
      <c r="BX668" s="7"/>
      <c r="BY668" s="7"/>
      <c r="BZ668" s="7"/>
      <c r="CA668" s="7"/>
      <c r="CB668" s="7"/>
      <c r="CC668" s="7"/>
    </row>
    <row r="669" spans="1:81" ht="12" customHeight="1" x14ac:dyDescent="0.3">
      <c r="A669" s="7"/>
      <c r="B669" s="7"/>
      <c r="C669" s="1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8"/>
      <c r="BX669" s="7"/>
      <c r="BY669" s="7"/>
      <c r="BZ669" s="7"/>
      <c r="CA669" s="7"/>
      <c r="CB669" s="7"/>
      <c r="CC669" s="7"/>
    </row>
    <row r="670" spans="1:81" ht="12" customHeight="1" x14ac:dyDescent="0.3">
      <c r="A670" s="7"/>
      <c r="B670" s="7"/>
      <c r="C670" s="1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8"/>
      <c r="BX670" s="7"/>
      <c r="BY670" s="7"/>
      <c r="BZ670" s="7"/>
      <c r="CA670" s="7"/>
      <c r="CB670" s="7"/>
      <c r="CC670" s="7"/>
    </row>
    <row r="671" spans="1:81" ht="12" customHeight="1" x14ac:dyDescent="0.3">
      <c r="A671" s="7"/>
      <c r="B671" s="7"/>
      <c r="C671" s="1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8"/>
      <c r="BX671" s="7"/>
      <c r="BY671" s="7"/>
      <c r="BZ671" s="7"/>
      <c r="CA671" s="7"/>
      <c r="CB671" s="7"/>
      <c r="CC671" s="7"/>
    </row>
    <row r="672" spans="1:81" ht="12" customHeight="1" x14ac:dyDescent="0.3">
      <c r="A672" s="7"/>
      <c r="B672" s="7"/>
      <c r="C672" s="1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8"/>
      <c r="BX672" s="7"/>
      <c r="BY672" s="7"/>
      <c r="BZ672" s="7"/>
      <c r="CA672" s="7"/>
      <c r="CB672" s="7"/>
      <c r="CC672" s="7"/>
    </row>
    <row r="673" spans="1:81" ht="12" customHeight="1" x14ac:dyDescent="0.3">
      <c r="A673" s="7"/>
      <c r="B673" s="7"/>
      <c r="C673" s="1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8"/>
      <c r="BX673" s="7"/>
      <c r="BY673" s="7"/>
      <c r="BZ673" s="7"/>
      <c r="CA673" s="7"/>
      <c r="CB673" s="7"/>
      <c r="CC673" s="7"/>
    </row>
    <row r="674" spans="1:81" ht="12" customHeight="1" x14ac:dyDescent="0.3">
      <c r="A674" s="7"/>
      <c r="B674" s="7"/>
      <c r="C674" s="1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8"/>
      <c r="BX674" s="7"/>
      <c r="BY674" s="7"/>
      <c r="BZ674" s="7"/>
      <c r="CA674" s="7"/>
      <c r="CB674" s="7"/>
      <c r="CC674" s="7"/>
    </row>
    <row r="675" spans="1:81" ht="12" customHeight="1" x14ac:dyDescent="0.3">
      <c r="A675" s="7"/>
      <c r="B675" s="7"/>
      <c r="C675" s="1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8"/>
      <c r="BX675" s="7"/>
      <c r="BY675" s="7"/>
      <c r="BZ675" s="7"/>
      <c r="CA675" s="7"/>
      <c r="CB675" s="7"/>
      <c r="CC675" s="7"/>
    </row>
    <row r="676" spans="1:81" ht="12" customHeight="1" x14ac:dyDescent="0.3">
      <c r="A676" s="7"/>
      <c r="B676" s="7"/>
      <c r="C676" s="1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8"/>
      <c r="BX676" s="7"/>
      <c r="BY676" s="7"/>
      <c r="BZ676" s="7"/>
      <c r="CA676" s="7"/>
      <c r="CB676" s="7"/>
      <c r="CC676" s="7"/>
    </row>
    <row r="677" spans="1:81" ht="12" customHeight="1" x14ac:dyDescent="0.3">
      <c r="A677" s="7"/>
      <c r="B677" s="7"/>
      <c r="C677" s="1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8"/>
      <c r="BX677" s="7"/>
      <c r="BY677" s="7"/>
      <c r="BZ677" s="7"/>
      <c r="CA677" s="7"/>
      <c r="CB677" s="7"/>
      <c r="CC677" s="7"/>
    </row>
    <row r="678" spans="1:81" ht="12" customHeight="1" x14ac:dyDescent="0.3">
      <c r="A678" s="7"/>
      <c r="B678" s="7"/>
      <c r="C678" s="1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8"/>
      <c r="BX678" s="7"/>
      <c r="BY678" s="7"/>
      <c r="BZ678" s="7"/>
      <c r="CA678" s="7"/>
      <c r="CB678" s="7"/>
      <c r="CC678" s="7"/>
    </row>
    <row r="679" spans="1:81" ht="12" customHeight="1" x14ac:dyDescent="0.3">
      <c r="A679" s="7"/>
      <c r="B679" s="7"/>
      <c r="C679" s="1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8"/>
      <c r="BX679" s="7"/>
      <c r="BY679" s="7"/>
      <c r="BZ679" s="7"/>
      <c r="CA679" s="7"/>
      <c r="CB679" s="7"/>
      <c r="CC679" s="7"/>
    </row>
    <row r="680" spans="1:81" ht="12" customHeight="1" x14ac:dyDescent="0.3">
      <c r="A680" s="7"/>
      <c r="B680" s="7"/>
      <c r="C680" s="1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8"/>
      <c r="BX680" s="7"/>
      <c r="BY680" s="7"/>
      <c r="BZ680" s="7"/>
      <c r="CA680" s="7"/>
      <c r="CB680" s="7"/>
      <c r="CC680" s="7"/>
    </row>
    <row r="681" spans="1:81" ht="12" customHeight="1" x14ac:dyDescent="0.3">
      <c r="A681" s="7"/>
      <c r="B681" s="7"/>
      <c r="C681" s="1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8"/>
      <c r="BX681" s="7"/>
      <c r="BY681" s="7"/>
      <c r="BZ681" s="7"/>
      <c r="CA681" s="7"/>
      <c r="CB681" s="7"/>
      <c r="CC681" s="7"/>
    </row>
    <row r="682" spans="1:81" ht="12" customHeight="1" x14ac:dyDescent="0.3">
      <c r="A682" s="7"/>
      <c r="B682" s="7"/>
      <c r="C682" s="1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8"/>
      <c r="BX682" s="7"/>
      <c r="BY682" s="7"/>
      <c r="BZ682" s="7"/>
      <c r="CA682" s="7"/>
      <c r="CB682" s="7"/>
      <c r="CC682" s="7"/>
    </row>
    <row r="683" spans="1:81" ht="12" customHeight="1" x14ac:dyDescent="0.3">
      <c r="A683" s="7"/>
      <c r="B683" s="7"/>
      <c r="C683" s="1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8"/>
      <c r="BX683" s="7"/>
      <c r="BY683" s="7"/>
      <c r="BZ683" s="7"/>
      <c r="CA683" s="7"/>
      <c r="CB683" s="7"/>
      <c r="CC683" s="7"/>
    </row>
    <row r="684" spans="1:81" ht="12" customHeight="1" x14ac:dyDescent="0.3">
      <c r="A684" s="7"/>
      <c r="B684" s="7"/>
      <c r="C684" s="1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8"/>
      <c r="BX684" s="7"/>
      <c r="BY684" s="7"/>
      <c r="BZ684" s="7"/>
      <c r="CA684" s="7"/>
      <c r="CB684" s="7"/>
      <c r="CC684" s="7"/>
    </row>
    <row r="685" spans="1:81" ht="12" customHeight="1" x14ac:dyDescent="0.3">
      <c r="A685" s="7"/>
      <c r="B685" s="7"/>
      <c r="C685" s="1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8"/>
      <c r="BX685" s="7"/>
      <c r="BY685" s="7"/>
      <c r="BZ685" s="7"/>
      <c r="CA685" s="7"/>
      <c r="CB685" s="7"/>
      <c r="CC685" s="7"/>
    </row>
    <row r="686" spans="1:81" ht="12" customHeight="1" x14ac:dyDescent="0.3">
      <c r="A686" s="7"/>
      <c r="B686" s="7"/>
      <c r="C686" s="1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8"/>
      <c r="BX686" s="7"/>
      <c r="BY686" s="7"/>
      <c r="BZ686" s="7"/>
      <c r="CA686" s="7"/>
      <c r="CB686" s="7"/>
      <c r="CC686" s="7"/>
    </row>
    <row r="687" spans="1:81" ht="12" customHeight="1" x14ac:dyDescent="0.3">
      <c r="A687" s="7"/>
      <c r="B687" s="7"/>
      <c r="C687" s="1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8"/>
      <c r="BX687" s="7"/>
      <c r="BY687" s="7"/>
      <c r="BZ687" s="7"/>
      <c r="CA687" s="7"/>
      <c r="CB687" s="7"/>
      <c r="CC687" s="7"/>
    </row>
    <row r="688" spans="1:81" ht="12" customHeight="1" x14ac:dyDescent="0.3">
      <c r="A688" s="7"/>
      <c r="B688" s="7"/>
      <c r="C688" s="1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8"/>
      <c r="BX688" s="7"/>
      <c r="BY688" s="7"/>
      <c r="BZ688" s="7"/>
      <c r="CA688" s="7"/>
      <c r="CB688" s="7"/>
      <c r="CC688" s="7"/>
    </row>
    <row r="689" spans="1:81" ht="12" customHeight="1" x14ac:dyDescent="0.3">
      <c r="A689" s="7"/>
      <c r="B689" s="7"/>
      <c r="C689" s="1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8"/>
      <c r="BX689" s="7"/>
      <c r="BY689" s="7"/>
      <c r="BZ689" s="7"/>
      <c r="CA689" s="7"/>
      <c r="CB689" s="7"/>
      <c r="CC689" s="7"/>
    </row>
    <row r="690" spans="1:81" ht="12" customHeight="1" x14ac:dyDescent="0.3">
      <c r="A690" s="7"/>
      <c r="B690" s="7"/>
      <c r="C690" s="1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8"/>
      <c r="BX690" s="7"/>
      <c r="BY690" s="7"/>
      <c r="BZ690" s="7"/>
      <c r="CA690" s="7"/>
      <c r="CB690" s="7"/>
      <c r="CC690" s="7"/>
    </row>
    <row r="691" spans="1:81" ht="12" customHeight="1" x14ac:dyDescent="0.3">
      <c r="A691" s="7"/>
      <c r="B691" s="7"/>
      <c r="C691" s="1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8"/>
      <c r="BX691" s="7"/>
      <c r="BY691" s="7"/>
      <c r="BZ691" s="7"/>
      <c r="CA691" s="7"/>
      <c r="CB691" s="7"/>
      <c r="CC691" s="7"/>
    </row>
    <row r="692" spans="1:81" ht="12" customHeight="1" x14ac:dyDescent="0.3">
      <c r="A692" s="7"/>
      <c r="B692" s="7"/>
      <c r="C692" s="1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8"/>
      <c r="BX692" s="7"/>
      <c r="BY692" s="7"/>
      <c r="BZ692" s="7"/>
      <c r="CA692" s="7"/>
      <c r="CB692" s="7"/>
      <c r="CC692" s="7"/>
    </row>
    <row r="693" spans="1:81" ht="12" customHeight="1" x14ac:dyDescent="0.3">
      <c r="A693" s="7"/>
      <c r="B693" s="7"/>
      <c r="C693" s="1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8"/>
      <c r="BX693" s="7"/>
      <c r="BY693" s="7"/>
      <c r="BZ693" s="7"/>
      <c r="CA693" s="7"/>
      <c r="CB693" s="7"/>
      <c r="CC693" s="7"/>
    </row>
    <row r="694" spans="1:81" ht="12" customHeight="1" x14ac:dyDescent="0.3">
      <c r="A694" s="7"/>
      <c r="B694" s="7"/>
      <c r="C694" s="1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8"/>
      <c r="BX694" s="7"/>
      <c r="BY694" s="7"/>
      <c r="BZ694" s="7"/>
      <c r="CA694" s="7"/>
      <c r="CB694" s="7"/>
      <c r="CC694" s="7"/>
    </row>
    <row r="695" spans="1:81" ht="12" customHeight="1" x14ac:dyDescent="0.3">
      <c r="A695" s="7"/>
      <c r="B695" s="7"/>
      <c r="C695" s="1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8"/>
      <c r="BX695" s="7"/>
      <c r="BY695" s="7"/>
      <c r="BZ695" s="7"/>
      <c r="CA695" s="7"/>
      <c r="CB695" s="7"/>
      <c r="CC695" s="7"/>
    </row>
    <row r="696" spans="1:81" ht="12" customHeight="1" x14ac:dyDescent="0.3">
      <c r="A696" s="7"/>
      <c r="B696" s="7"/>
      <c r="C696" s="1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8"/>
      <c r="BX696" s="7"/>
      <c r="BY696" s="7"/>
      <c r="BZ696" s="7"/>
      <c r="CA696" s="7"/>
      <c r="CB696" s="7"/>
      <c r="CC696" s="7"/>
    </row>
    <row r="697" spans="1:81" ht="12" customHeight="1" x14ac:dyDescent="0.3">
      <c r="A697" s="7"/>
      <c r="B697" s="7"/>
      <c r="C697" s="1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8"/>
      <c r="BX697" s="7"/>
      <c r="BY697" s="7"/>
      <c r="BZ697" s="7"/>
      <c r="CA697" s="7"/>
      <c r="CB697" s="7"/>
      <c r="CC697" s="7"/>
    </row>
    <row r="698" spans="1:81" ht="12" customHeight="1" x14ac:dyDescent="0.3">
      <c r="A698" s="7"/>
      <c r="B698" s="7"/>
      <c r="C698" s="1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8"/>
      <c r="BX698" s="7"/>
      <c r="BY698" s="7"/>
      <c r="BZ698" s="7"/>
      <c r="CA698" s="7"/>
      <c r="CB698" s="7"/>
      <c r="CC698" s="7"/>
    </row>
    <row r="699" spans="1:81" ht="12" customHeight="1" x14ac:dyDescent="0.3">
      <c r="A699" s="7"/>
      <c r="B699" s="7"/>
      <c r="C699" s="1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8"/>
      <c r="BX699" s="7"/>
      <c r="BY699" s="7"/>
      <c r="BZ699" s="7"/>
      <c r="CA699" s="7"/>
      <c r="CB699" s="7"/>
      <c r="CC699" s="7"/>
    </row>
    <row r="700" spans="1:81" ht="12" customHeight="1" x14ac:dyDescent="0.3">
      <c r="A700" s="7"/>
      <c r="B700" s="7"/>
      <c r="C700" s="1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8"/>
      <c r="BX700" s="7"/>
      <c r="BY700" s="7"/>
      <c r="BZ700" s="7"/>
      <c r="CA700" s="7"/>
      <c r="CB700" s="7"/>
      <c r="CC700" s="7"/>
    </row>
    <row r="701" spans="1:81" ht="12" customHeight="1" x14ac:dyDescent="0.3">
      <c r="A701" s="7"/>
      <c r="B701" s="7"/>
      <c r="C701" s="1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8"/>
      <c r="BX701" s="7"/>
      <c r="BY701" s="7"/>
      <c r="BZ701" s="7"/>
      <c r="CA701" s="7"/>
      <c r="CB701" s="7"/>
      <c r="CC701" s="7"/>
    </row>
    <row r="702" spans="1:81" ht="12" customHeight="1" x14ac:dyDescent="0.3">
      <c r="A702" s="7"/>
      <c r="B702" s="7"/>
      <c r="C702" s="1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8"/>
      <c r="BX702" s="7"/>
      <c r="BY702" s="7"/>
      <c r="BZ702" s="7"/>
      <c r="CA702" s="7"/>
      <c r="CB702" s="7"/>
      <c r="CC702" s="7"/>
    </row>
    <row r="703" spans="1:81" ht="12" customHeight="1" x14ac:dyDescent="0.3">
      <c r="A703" s="7"/>
      <c r="B703" s="7"/>
      <c r="C703" s="1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8"/>
      <c r="BX703" s="7"/>
      <c r="BY703" s="7"/>
      <c r="BZ703" s="7"/>
      <c r="CA703" s="7"/>
      <c r="CB703" s="7"/>
      <c r="CC703" s="7"/>
    </row>
    <row r="704" spans="1:81" ht="12" customHeight="1" x14ac:dyDescent="0.3">
      <c r="A704" s="7"/>
      <c r="B704" s="7"/>
      <c r="C704" s="1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8"/>
      <c r="BX704" s="7"/>
      <c r="BY704" s="7"/>
      <c r="BZ704" s="7"/>
      <c r="CA704" s="7"/>
      <c r="CB704" s="7"/>
      <c r="CC704" s="7"/>
    </row>
    <row r="705" spans="1:81" ht="12" customHeight="1" x14ac:dyDescent="0.3">
      <c r="A705" s="7"/>
      <c r="B705" s="7"/>
      <c r="C705" s="1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8"/>
      <c r="BX705" s="7"/>
      <c r="BY705" s="7"/>
      <c r="BZ705" s="7"/>
      <c r="CA705" s="7"/>
      <c r="CB705" s="7"/>
      <c r="CC705" s="7"/>
    </row>
    <row r="706" spans="1:81" ht="12" customHeight="1" x14ac:dyDescent="0.3">
      <c r="A706" s="7"/>
      <c r="B706" s="7"/>
      <c r="C706" s="1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8"/>
      <c r="BX706" s="7"/>
      <c r="BY706" s="7"/>
      <c r="BZ706" s="7"/>
      <c r="CA706" s="7"/>
      <c r="CB706" s="7"/>
      <c r="CC706" s="7"/>
    </row>
    <row r="707" spans="1:81" ht="12" customHeight="1" x14ac:dyDescent="0.3">
      <c r="A707" s="7"/>
      <c r="B707" s="7"/>
      <c r="C707" s="1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8"/>
      <c r="BX707" s="7"/>
      <c r="BY707" s="7"/>
      <c r="BZ707" s="7"/>
      <c r="CA707" s="7"/>
      <c r="CB707" s="7"/>
      <c r="CC707" s="7"/>
    </row>
    <row r="708" spans="1:81" ht="12" customHeight="1" x14ac:dyDescent="0.3">
      <c r="A708" s="7"/>
      <c r="B708" s="7"/>
      <c r="C708" s="1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8"/>
      <c r="BX708" s="7"/>
      <c r="BY708" s="7"/>
      <c r="BZ708" s="7"/>
      <c r="CA708" s="7"/>
      <c r="CB708" s="7"/>
      <c r="CC708" s="7"/>
    </row>
    <row r="709" spans="1:81" ht="12" customHeight="1" x14ac:dyDescent="0.3">
      <c r="A709" s="7"/>
      <c r="B709" s="7"/>
      <c r="C709" s="1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8"/>
      <c r="BX709" s="7"/>
      <c r="BY709" s="7"/>
      <c r="BZ709" s="7"/>
      <c r="CA709" s="7"/>
      <c r="CB709" s="7"/>
      <c r="CC709" s="7"/>
    </row>
    <row r="710" spans="1:81" ht="12" customHeight="1" x14ac:dyDescent="0.3">
      <c r="A710" s="7"/>
      <c r="B710" s="7"/>
      <c r="C710" s="1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8"/>
      <c r="BX710" s="7"/>
      <c r="BY710" s="7"/>
      <c r="BZ710" s="7"/>
      <c r="CA710" s="7"/>
      <c r="CB710" s="7"/>
      <c r="CC710" s="7"/>
    </row>
    <row r="711" spans="1:81" ht="12" customHeight="1" x14ac:dyDescent="0.3">
      <c r="A711" s="7"/>
      <c r="B711" s="7"/>
      <c r="C711" s="1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8"/>
      <c r="BX711" s="7"/>
      <c r="BY711" s="7"/>
      <c r="BZ711" s="7"/>
      <c r="CA711" s="7"/>
      <c r="CB711" s="7"/>
      <c r="CC711" s="7"/>
    </row>
    <row r="712" spans="1:81" ht="12" customHeight="1" x14ac:dyDescent="0.3">
      <c r="A712" s="7"/>
      <c r="B712" s="7"/>
      <c r="C712" s="1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8"/>
      <c r="BX712" s="7"/>
      <c r="BY712" s="7"/>
      <c r="BZ712" s="7"/>
      <c r="CA712" s="7"/>
      <c r="CB712" s="7"/>
      <c r="CC712" s="7"/>
    </row>
    <row r="713" spans="1:81" ht="12" customHeight="1" x14ac:dyDescent="0.3">
      <c r="A713" s="7"/>
      <c r="B713" s="7"/>
      <c r="C713" s="1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8"/>
      <c r="BX713" s="7"/>
      <c r="BY713" s="7"/>
      <c r="BZ713" s="7"/>
      <c r="CA713" s="7"/>
      <c r="CB713" s="7"/>
      <c r="CC713" s="7"/>
    </row>
    <row r="714" spans="1:81" ht="12" customHeight="1" x14ac:dyDescent="0.3">
      <c r="A714" s="7"/>
      <c r="B714" s="7"/>
      <c r="C714" s="1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8"/>
      <c r="BX714" s="7"/>
      <c r="BY714" s="7"/>
      <c r="BZ714" s="7"/>
      <c r="CA714" s="7"/>
      <c r="CB714" s="7"/>
      <c r="CC714" s="7"/>
    </row>
    <row r="715" spans="1:81" ht="12" customHeight="1" x14ac:dyDescent="0.3">
      <c r="A715" s="7"/>
      <c r="B715" s="7"/>
      <c r="C715" s="1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8"/>
      <c r="BX715" s="7"/>
      <c r="BY715" s="7"/>
      <c r="BZ715" s="7"/>
      <c r="CA715" s="7"/>
      <c r="CB715" s="7"/>
      <c r="CC715" s="7"/>
    </row>
    <row r="716" spans="1:81" ht="12" customHeight="1" x14ac:dyDescent="0.3">
      <c r="A716" s="7"/>
      <c r="B716" s="7"/>
      <c r="C716" s="1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8"/>
      <c r="BX716" s="7"/>
      <c r="BY716" s="7"/>
      <c r="BZ716" s="7"/>
      <c r="CA716" s="7"/>
      <c r="CB716" s="7"/>
      <c r="CC716" s="7"/>
    </row>
    <row r="717" spans="1:81" ht="12" customHeight="1" x14ac:dyDescent="0.3">
      <c r="A717" s="7"/>
      <c r="B717" s="7"/>
      <c r="C717" s="1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8"/>
      <c r="BX717" s="7"/>
      <c r="BY717" s="7"/>
      <c r="BZ717" s="7"/>
      <c r="CA717" s="7"/>
      <c r="CB717" s="7"/>
      <c r="CC717" s="7"/>
    </row>
    <row r="718" spans="1:81" ht="12" customHeight="1" x14ac:dyDescent="0.3">
      <c r="A718" s="7"/>
      <c r="B718" s="7"/>
      <c r="C718" s="1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8"/>
      <c r="BX718" s="7"/>
      <c r="BY718" s="7"/>
      <c r="BZ718" s="7"/>
      <c r="CA718" s="7"/>
      <c r="CB718" s="7"/>
      <c r="CC718" s="7"/>
    </row>
    <row r="719" spans="1:81" ht="12" customHeight="1" x14ac:dyDescent="0.3">
      <c r="A719" s="7"/>
      <c r="B719" s="7"/>
      <c r="C719" s="1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8"/>
      <c r="BX719" s="7"/>
      <c r="BY719" s="7"/>
      <c r="BZ719" s="7"/>
      <c r="CA719" s="7"/>
      <c r="CB719" s="7"/>
      <c r="CC719" s="7"/>
    </row>
    <row r="720" spans="1:81" ht="12" customHeight="1" x14ac:dyDescent="0.3">
      <c r="A720" s="7"/>
      <c r="B720" s="7"/>
      <c r="C720" s="1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8"/>
      <c r="BX720" s="7"/>
      <c r="BY720" s="7"/>
      <c r="BZ720" s="7"/>
      <c r="CA720" s="7"/>
      <c r="CB720" s="7"/>
      <c r="CC720" s="7"/>
    </row>
    <row r="721" spans="1:81" ht="12" customHeight="1" x14ac:dyDescent="0.3">
      <c r="A721" s="7"/>
      <c r="B721" s="7"/>
      <c r="C721" s="1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8"/>
      <c r="BX721" s="7"/>
      <c r="BY721" s="7"/>
      <c r="BZ721" s="7"/>
      <c r="CA721" s="7"/>
      <c r="CB721" s="7"/>
      <c r="CC721" s="7"/>
    </row>
    <row r="722" spans="1:81" ht="12" customHeight="1" x14ac:dyDescent="0.3">
      <c r="A722" s="7"/>
      <c r="B722" s="7"/>
      <c r="C722" s="1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8"/>
      <c r="BX722" s="7"/>
      <c r="BY722" s="7"/>
      <c r="BZ722" s="7"/>
      <c r="CA722" s="7"/>
      <c r="CB722" s="7"/>
      <c r="CC722" s="7"/>
    </row>
    <row r="723" spans="1:81" ht="12" customHeight="1" x14ac:dyDescent="0.3">
      <c r="A723" s="7"/>
      <c r="B723" s="7"/>
      <c r="C723" s="1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8"/>
      <c r="BX723" s="7"/>
      <c r="BY723" s="7"/>
      <c r="BZ723" s="7"/>
      <c r="CA723" s="7"/>
      <c r="CB723" s="7"/>
      <c r="CC723" s="7"/>
    </row>
    <row r="724" spans="1:81" ht="12" customHeight="1" x14ac:dyDescent="0.3">
      <c r="A724" s="7"/>
      <c r="B724" s="7"/>
      <c r="C724" s="1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8"/>
      <c r="BX724" s="7"/>
      <c r="BY724" s="7"/>
      <c r="BZ724" s="7"/>
      <c r="CA724" s="7"/>
      <c r="CB724" s="7"/>
      <c r="CC724" s="7"/>
    </row>
    <row r="725" spans="1:81" ht="12" customHeight="1" x14ac:dyDescent="0.3">
      <c r="A725" s="7"/>
      <c r="B725" s="7"/>
      <c r="C725" s="1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8"/>
      <c r="BX725" s="7"/>
      <c r="BY725" s="7"/>
      <c r="BZ725" s="7"/>
      <c r="CA725" s="7"/>
      <c r="CB725" s="7"/>
      <c r="CC725" s="7"/>
    </row>
    <row r="726" spans="1:81" ht="12" customHeight="1" x14ac:dyDescent="0.3">
      <c r="A726" s="7"/>
      <c r="B726" s="7"/>
      <c r="C726" s="1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8"/>
      <c r="BX726" s="7"/>
      <c r="BY726" s="7"/>
      <c r="BZ726" s="7"/>
      <c r="CA726" s="7"/>
      <c r="CB726" s="7"/>
      <c r="CC726" s="7"/>
    </row>
    <row r="727" spans="1:81" ht="12" customHeight="1" x14ac:dyDescent="0.3">
      <c r="A727" s="7"/>
      <c r="B727" s="7"/>
      <c r="C727" s="1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8"/>
      <c r="BX727" s="7"/>
      <c r="BY727" s="7"/>
      <c r="BZ727" s="7"/>
      <c r="CA727" s="7"/>
      <c r="CB727" s="7"/>
      <c r="CC727" s="7"/>
    </row>
    <row r="728" spans="1:81" ht="12" customHeight="1" x14ac:dyDescent="0.3">
      <c r="A728" s="7"/>
      <c r="B728" s="7"/>
      <c r="C728" s="1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8"/>
      <c r="BX728" s="7"/>
      <c r="BY728" s="7"/>
      <c r="BZ728" s="7"/>
      <c r="CA728" s="7"/>
      <c r="CB728" s="7"/>
      <c r="CC728" s="7"/>
    </row>
    <row r="729" spans="1:81" ht="12" customHeight="1" x14ac:dyDescent="0.3">
      <c r="A729" s="7"/>
      <c r="B729" s="7"/>
      <c r="C729" s="1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8"/>
      <c r="BX729" s="7"/>
      <c r="BY729" s="7"/>
      <c r="BZ729" s="7"/>
      <c r="CA729" s="7"/>
      <c r="CB729" s="7"/>
      <c r="CC729" s="7"/>
    </row>
    <row r="730" spans="1:81" ht="12" customHeight="1" x14ac:dyDescent="0.3">
      <c r="A730" s="7"/>
      <c r="B730" s="7"/>
      <c r="C730" s="1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8"/>
      <c r="BX730" s="7"/>
      <c r="BY730" s="7"/>
      <c r="BZ730" s="7"/>
      <c r="CA730" s="7"/>
      <c r="CB730" s="7"/>
      <c r="CC730" s="7"/>
    </row>
    <row r="731" spans="1:81" ht="12" customHeight="1" x14ac:dyDescent="0.3">
      <c r="A731" s="7"/>
      <c r="B731" s="7"/>
      <c r="C731" s="1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8"/>
      <c r="BX731" s="7"/>
      <c r="BY731" s="7"/>
      <c r="BZ731" s="7"/>
      <c r="CA731" s="7"/>
      <c r="CB731" s="7"/>
      <c r="CC731" s="7"/>
    </row>
    <row r="732" spans="1:81" ht="12" customHeight="1" x14ac:dyDescent="0.3">
      <c r="A732" s="7"/>
      <c r="B732" s="7"/>
      <c r="C732" s="11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8"/>
      <c r="BX732" s="7"/>
      <c r="BY732" s="7"/>
      <c r="BZ732" s="7"/>
      <c r="CA732" s="7"/>
      <c r="CB732" s="7"/>
      <c r="CC732" s="7"/>
    </row>
    <row r="733" spans="1:81" ht="12" customHeight="1" x14ac:dyDescent="0.3">
      <c r="A733" s="7"/>
      <c r="B733" s="7"/>
      <c r="C733" s="11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8"/>
      <c r="BX733" s="7"/>
      <c r="BY733" s="7"/>
      <c r="BZ733" s="7"/>
      <c r="CA733" s="7"/>
      <c r="CB733" s="7"/>
      <c r="CC733" s="7"/>
    </row>
    <row r="734" spans="1:81" ht="12" customHeight="1" x14ac:dyDescent="0.3">
      <c r="A734" s="7"/>
      <c r="B734" s="7"/>
      <c r="C734" s="11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8"/>
      <c r="BX734" s="7"/>
      <c r="BY734" s="7"/>
      <c r="BZ734" s="7"/>
      <c r="CA734" s="7"/>
      <c r="CB734" s="7"/>
      <c r="CC734" s="7"/>
    </row>
    <row r="735" spans="1:81" ht="12" customHeight="1" x14ac:dyDescent="0.3">
      <c r="A735" s="7"/>
      <c r="B735" s="7"/>
      <c r="C735" s="11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8"/>
      <c r="BX735" s="7"/>
      <c r="BY735" s="7"/>
      <c r="BZ735" s="7"/>
      <c r="CA735" s="7"/>
      <c r="CB735" s="7"/>
      <c r="CC735" s="7"/>
    </row>
    <row r="736" spans="1:81" ht="12" customHeight="1" x14ac:dyDescent="0.3">
      <c r="A736" s="7"/>
      <c r="B736" s="7"/>
      <c r="C736" s="11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8"/>
      <c r="BX736" s="7"/>
      <c r="BY736" s="7"/>
      <c r="BZ736" s="7"/>
      <c r="CA736" s="7"/>
      <c r="CB736" s="7"/>
      <c r="CC736" s="7"/>
    </row>
    <row r="737" spans="1:81" ht="12" customHeight="1" x14ac:dyDescent="0.3">
      <c r="A737" s="7"/>
      <c r="B737" s="7"/>
      <c r="C737" s="11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8"/>
      <c r="BX737" s="7"/>
      <c r="BY737" s="7"/>
      <c r="BZ737" s="7"/>
      <c r="CA737" s="7"/>
      <c r="CB737" s="7"/>
      <c r="CC737" s="7"/>
    </row>
    <row r="738" spans="1:81" ht="12" customHeight="1" x14ac:dyDescent="0.3">
      <c r="A738" s="7"/>
      <c r="B738" s="7"/>
      <c r="C738" s="11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8"/>
      <c r="BX738" s="7"/>
      <c r="BY738" s="7"/>
      <c r="BZ738" s="7"/>
      <c r="CA738" s="7"/>
      <c r="CB738" s="7"/>
      <c r="CC738" s="7"/>
    </row>
    <row r="739" spans="1:81" ht="12" customHeight="1" x14ac:dyDescent="0.3">
      <c r="A739" s="7"/>
      <c r="B739" s="7"/>
      <c r="C739" s="11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8"/>
      <c r="BX739" s="7"/>
      <c r="BY739" s="7"/>
      <c r="BZ739" s="7"/>
      <c r="CA739" s="7"/>
      <c r="CB739" s="7"/>
      <c r="CC739" s="7"/>
    </row>
    <row r="740" spans="1:81" ht="12" customHeight="1" x14ac:dyDescent="0.3">
      <c r="A740" s="7"/>
      <c r="B740" s="7"/>
      <c r="C740" s="11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8"/>
      <c r="BX740" s="7"/>
      <c r="BY740" s="7"/>
      <c r="BZ740" s="7"/>
      <c r="CA740" s="7"/>
      <c r="CB740" s="7"/>
      <c r="CC740" s="7"/>
    </row>
    <row r="741" spans="1:81" ht="12" customHeight="1" x14ac:dyDescent="0.3">
      <c r="A741" s="7"/>
      <c r="B741" s="7"/>
      <c r="C741" s="11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8"/>
      <c r="BX741" s="7"/>
      <c r="BY741" s="7"/>
      <c r="BZ741" s="7"/>
      <c r="CA741" s="7"/>
      <c r="CB741" s="7"/>
      <c r="CC741" s="7"/>
    </row>
    <row r="742" spans="1:81" ht="12" customHeight="1" x14ac:dyDescent="0.3">
      <c r="A742" s="7"/>
      <c r="B742" s="7"/>
      <c r="C742" s="11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8"/>
      <c r="BX742" s="7"/>
      <c r="BY742" s="7"/>
      <c r="BZ742" s="7"/>
      <c r="CA742" s="7"/>
      <c r="CB742" s="7"/>
      <c r="CC742" s="7"/>
    </row>
    <row r="743" spans="1:81" ht="12" customHeight="1" x14ac:dyDescent="0.3">
      <c r="A743" s="7"/>
      <c r="B743" s="7"/>
      <c r="C743" s="11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8"/>
      <c r="BX743" s="7"/>
      <c r="BY743" s="7"/>
      <c r="BZ743" s="7"/>
      <c r="CA743" s="7"/>
      <c r="CB743" s="7"/>
      <c r="CC743" s="7"/>
    </row>
    <row r="744" spans="1:81" ht="12" customHeight="1" x14ac:dyDescent="0.3">
      <c r="A744" s="7"/>
      <c r="B744" s="7"/>
      <c r="C744" s="11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8"/>
      <c r="BX744" s="7"/>
      <c r="BY744" s="7"/>
      <c r="BZ744" s="7"/>
      <c r="CA744" s="7"/>
      <c r="CB744" s="7"/>
      <c r="CC744" s="7"/>
    </row>
    <row r="745" spans="1:81" ht="12" customHeight="1" x14ac:dyDescent="0.3">
      <c r="A745" s="7"/>
      <c r="B745" s="7"/>
      <c r="C745" s="11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8"/>
      <c r="BX745" s="7"/>
      <c r="BY745" s="7"/>
      <c r="BZ745" s="7"/>
      <c r="CA745" s="7"/>
      <c r="CB745" s="7"/>
      <c r="CC745" s="7"/>
    </row>
    <row r="746" spans="1:81" ht="12" customHeight="1" x14ac:dyDescent="0.3">
      <c r="A746" s="7"/>
      <c r="B746" s="7"/>
      <c r="C746" s="11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8"/>
      <c r="BX746" s="7"/>
      <c r="BY746" s="7"/>
      <c r="BZ746" s="7"/>
      <c r="CA746" s="7"/>
      <c r="CB746" s="7"/>
      <c r="CC746" s="7"/>
    </row>
    <row r="747" spans="1:81" ht="12" customHeight="1" x14ac:dyDescent="0.3">
      <c r="A747" s="7"/>
      <c r="B747" s="7"/>
      <c r="C747" s="11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8"/>
      <c r="BX747" s="7"/>
      <c r="BY747" s="7"/>
      <c r="BZ747" s="7"/>
      <c r="CA747" s="7"/>
      <c r="CB747" s="7"/>
      <c r="CC747" s="7"/>
    </row>
    <row r="748" spans="1:81" ht="12" customHeight="1" x14ac:dyDescent="0.3">
      <c r="A748" s="7"/>
      <c r="B748" s="7"/>
      <c r="C748" s="11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8"/>
      <c r="BX748" s="7"/>
      <c r="BY748" s="7"/>
      <c r="BZ748" s="7"/>
      <c r="CA748" s="7"/>
      <c r="CB748" s="7"/>
      <c r="CC748" s="7"/>
    </row>
    <row r="749" spans="1:81" ht="12" customHeight="1" x14ac:dyDescent="0.3">
      <c r="A749" s="7"/>
      <c r="B749" s="7"/>
      <c r="C749" s="11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8"/>
      <c r="BX749" s="7"/>
      <c r="BY749" s="7"/>
      <c r="BZ749" s="7"/>
      <c r="CA749" s="7"/>
      <c r="CB749" s="7"/>
      <c r="CC749" s="7"/>
    </row>
    <row r="750" spans="1:81" ht="12" customHeight="1" x14ac:dyDescent="0.3">
      <c r="A750" s="7"/>
      <c r="B750" s="7"/>
      <c r="C750" s="11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8"/>
      <c r="BX750" s="7"/>
      <c r="BY750" s="7"/>
      <c r="BZ750" s="7"/>
      <c r="CA750" s="7"/>
      <c r="CB750" s="7"/>
      <c r="CC750" s="7"/>
    </row>
    <row r="751" spans="1:81" ht="12" customHeight="1" x14ac:dyDescent="0.3">
      <c r="A751" s="7"/>
      <c r="B751" s="7"/>
      <c r="C751" s="11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8"/>
      <c r="BX751" s="7"/>
      <c r="BY751" s="7"/>
      <c r="BZ751" s="7"/>
      <c r="CA751" s="7"/>
      <c r="CB751" s="7"/>
      <c r="CC751" s="7"/>
    </row>
    <row r="752" spans="1:81" ht="12" customHeight="1" x14ac:dyDescent="0.3">
      <c r="A752" s="7"/>
      <c r="B752" s="7"/>
      <c r="C752" s="11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8"/>
      <c r="BX752" s="7"/>
      <c r="BY752" s="7"/>
      <c r="BZ752" s="7"/>
      <c r="CA752" s="7"/>
      <c r="CB752" s="7"/>
      <c r="CC752" s="7"/>
    </row>
    <row r="753" spans="1:81" ht="12" customHeight="1" x14ac:dyDescent="0.3">
      <c r="A753" s="7"/>
      <c r="B753" s="7"/>
      <c r="C753" s="11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8"/>
      <c r="BX753" s="7"/>
      <c r="BY753" s="7"/>
      <c r="BZ753" s="7"/>
      <c r="CA753" s="7"/>
      <c r="CB753" s="7"/>
      <c r="CC753" s="7"/>
    </row>
    <row r="754" spans="1:81" ht="12" customHeight="1" x14ac:dyDescent="0.3">
      <c r="A754" s="7"/>
      <c r="B754" s="7"/>
      <c r="C754" s="11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8"/>
      <c r="BX754" s="7"/>
      <c r="BY754" s="7"/>
      <c r="BZ754" s="7"/>
      <c r="CA754" s="7"/>
      <c r="CB754" s="7"/>
      <c r="CC754" s="7"/>
    </row>
    <row r="755" spans="1:81" ht="12" customHeight="1" x14ac:dyDescent="0.3">
      <c r="A755" s="7"/>
      <c r="B755" s="7"/>
      <c r="C755" s="11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8"/>
      <c r="BX755" s="7"/>
      <c r="BY755" s="7"/>
      <c r="BZ755" s="7"/>
      <c r="CA755" s="7"/>
      <c r="CB755" s="7"/>
      <c r="CC755" s="7"/>
    </row>
    <row r="756" spans="1:81" ht="12" customHeight="1" x14ac:dyDescent="0.3">
      <c r="A756" s="7"/>
      <c r="B756" s="7"/>
      <c r="C756" s="11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8"/>
      <c r="BX756" s="7"/>
      <c r="BY756" s="7"/>
      <c r="BZ756" s="7"/>
      <c r="CA756" s="7"/>
      <c r="CB756" s="7"/>
      <c r="CC756" s="7"/>
    </row>
    <row r="757" spans="1:81" ht="12" customHeight="1" x14ac:dyDescent="0.3">
      <c r="A757" s="7"/>
      <c r="B757" s="7"/>
      <c r="C757" s="11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8"/>
      <c r="BX757" s="7"/>
      <c r="BY757" s="7"/>
      <c r="BZ757" s="7"/>
      <c r="CA757" s="7"/>
      <c r="CB757" s="7"/>
      <c r="CC757" s="7"/>
    </row>
    <row r="758" spans="1:81" ht="12" customHeight="1" x14ac:dyDescent="0.3">
      <c r="A758" s="7"/>
      <c r="B758" s="7"/>
      <c r="C758" s="11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8"/>
      <c r="BX758" s="7"/>
      <c r="BY758" s="7"/>
      <c r="BZ758" s="7"/>
      <c r="CA758" s="7"/>
      <c r="CB758" s="7"/>
      <c r="CC758" s="7"/>
    </row>
    <row r="759" spans="1:81" ht="12" customHeight="1" x14ac:dyDescent="0.3">
      <c r="A759" s="7"/>
      <c r="B759" s="7"/>
      <c r="C759" s="11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8"/>
      <c r="BX759" s="7"/>
      <c r="BY759" s="7"/>
      <c r="BZ759" s="7"/>
      <c r="CA759" s="7"/>
      <c r="CB759" s="7"/>
      <c r="CC759" s="7"/>
    </row>
    <row r="760" spans="1:81" ht="12" customHeight="1" x14ac:dyDescent="0.3">
      <c r="A760" s="7"/>
      <c r="B760" s="7"/>
      <c r="C760" s="11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8"/>
      <c r="BX760" s="7"/>
      <c r="BY760" s="7"/>
      <c r="BZ760" s="7"/>
      <c r="CA760" s="7"/>
      <c r="CB760" s="7"/>
      <c r="CC760" s="7"/>
    </row>
    <row r="761" spans="1:81" ht="12" customHeight="1" x14ac:dyDescent="0.3">
      <c r="A761" s="7"/>
      <c r="B761" s="7"/>
      <c r="C761" s="11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8"/>
      <c r="BX761" s="7"/>
      <c r="BY761" s="7"/>
      <c r="BZ761" s="7"/>
      <c r="CA761" s="7"/>
      <c r="CB761" s="7"/>
      <c r="CC761" s="7"/>
    </row>
    <row r="762" spans="1:81" ht="12" customHeight="1" x14ac:dyDescent="0.3">
      <c r="A762" s="7"/>
      <c r="B762" s="7"/>
      <c r="C762" s="11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8"/>
      <c r="BX762" s="7"/>
      <c r="BY762" s="7"/>
      <c r="BZ762" s="7"/>
      <c r="CA762" s="7"/>
      <c r="CB762" s="7"/>
      <c r="CC762" s="7"/>
    </row>
    <row r="763" spans="1:81" ht="12" customHeight="1" x14ac:dyDescent="0.3">
      <c r="A763" s="7"/>
      <c r="B763" s="7"/>
      <c r="C763" s="11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8"/>
      <c r="BX763" s="7"/>
      <c r="BY763" s="7"/>
      <c r="BZ763" s="7"/>
      <c r="CA763" s="7"/>
      <c r="CB763" s="7"/>
      <c r="CC763" s="7"/>
    </row>
    <row r="764" spans="1:81" ht="12" customHeight="1" x14ac:dyDescent="0.3">
      <c r="A764" s="7"/>
      <c r="B764" s="7"/>
      <c r="C764" s="11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8"/>
      <c r="BX764" s="7"/>
      <c r="BY764" s="7"/>
      <c r="BZ764" s="7"/>
      <c r="CA764" s="7"/>
      <c r="CB764" s="7"/>
      <c r="CC764" s="7"/>
    </row>
    <row r="765" spans="1:81" ht="12" customHeight="1" x14ac:dyDescent="0.3">
      <c r="A765" s="7"/>
      <c r="B765" s="7"/>
      <c r="C765" s="11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8"/>
      <c r="BX765" s="7"/>
      <c r="BY765" s="7"/>
      <c r="BZ765" s="7"/>
      <c r="CA765" s="7"/>
      <c r="CB765" s="7"/>
      <c r="CC765" s="7"/>
    </row>
    <row r="766" spans="1:81" ht="12" customHeight="1" x14ac:dyDescent="0.3">
      <c r="A766" s="7"/>
      <c r="B766" s="7"/>
      <c r="C766" s="11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8"/>
      <c r="BX766" s="7"/>
      <c r="BY766" s="7"/>
      <c r="BZ766" s="7"/>
      <c r="CA766" s="7"/>
      <c r="CB766" s="7"/>
      <c r="CC766" s="7"/>
    </row>
    <row r="767" spans="1:81" ht="12" customHeight="1" x14ac:dyDescent="0.3">
      <c r="A767" s="7"/>
      <c r="B767" s="7"/>
      <c r="C767" s="11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8"/>
      <c r="BX767" s="7"/>
      <c r="BY767" s="7"/>
      <c r="BZ767" s="7"/>
      <c r="CA767" s="7"/>
      <c r="CB767" s="7"/>
      <c r="CC767" s="7"/>
    </row>
    <row r="768" spans="1:81" ht="12" customHeight="1" x14ac:dyDescent="0.3">
      <c r="A768" s="7"/>
      <c r="B768" s="7"/>
      <c r="C768" s="11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8"/>
      <c r="BX768" s="7"/>
      <c r="BY768" s="7"/>
      <c r="BZ768" s="7"/>
      <c r="CA768" s="7"/>
      <c r="CB768" s="7"/>
      <c r="CC768" s="7"/>
    </row>
    <row r="769" spans="1:81" ht="12" customHeight="1" x14ac:dyDescent="0.3">
      <c r="A769" s="7"/>
      <c r="B769" s="7"/>
      <c r="C769" s="11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8"/>
      <c r="BX769" s="7"/>
      <c r="BY769" s="7"/>
      <c r="BZ769" s="7"/>
      <c r="CA769" s="7"/>
      <c r="CB769" s="7"/>
      <c r="CC769" s="7"/>
    </row>
    <row r="770" spans="1:81" ht="12" customHeight="1" x14ac:dyDescent="0.3">
      <c r="A770" s="7"/>
      <c r="B770" s="7"/>
      <c r="C770" s="11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8"/>
      <c r="BX770" s="7"/>
      <c r="BY770" s="7"/>
      <c r="BZ770" s="7"/>
      <c r="CA770" s="7"/>
      <c r="CB770" s="7"/>
      <c r="CC770" s="7"/>
    </row>
    <row r="771" spans="1:81" ht="12" customHeight="1" x14ac:dyDescent="0.3">
      <c r="A771" s="7"/>
      <c r="B771" s="7"/>
      <c r="C771" s="11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8"/>
      <c r="BX771" s="7"/>
      <c r="BY771" s="7"/>
      <c r="BZ771" s="7"/>
      <c r="CA771" s="7"/>
      <c r="CB771" s="7"/>
      <c r="CC771" s="7"/>
    </row>
    <row r="772" spans="1:81" ht="12" customHeight="1" x14ac:dyDescent="0.3">
      <c r="A772" s="7"/>
      <c r="B772" s="7"/>
      <c r="C772" s="11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8"/>
      <c r="BX772" s="7"/>
      <c r="BY772" s="7"/>
      <c r="BZ772" s="7"/>
      <c r="CA772" s="7"/>
      <c r="CB772" s="7"/>
      <c r="CC772" s="7"/>
    </row>
    <row r="773" spans="1:81" ht="12" customHeight="1" x14ac:dyDescent="0.3">
      <c r="A773" s="7"/>
      <c r="B773" s="7"/>
      <c r="C773" s="11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8"/>
      <c r="BX773" s="7"/>
      <c r="BY773" s="7"/>
      <c r="BZ773" s="7"/>
      <c r="CA773" s="7"/>
      <c r="CB773" s="7"/>
      <c r="CC773" s="7"/>
    </row>
    <row r="774" spans="1:81" ht="12" customHeight="1" x14ac:dyDescent="0.3">
      <c r="A774" s="7"/>
      <c r="B774" s="7"/>
      <c r="C774" s="11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8"/>
      <c r="BX774" s="7"/>
      <c r="BY774" s="7"/>
      <c r="BZ774" s="7"/>
      <c r="CA774" s="7"/>
      <c r="CB774" s="7"/>
      <c r="CC774" s="7"/>
    </row>
    <row r="775" spans="1:81" ht="12" customHeight="1" x14ac:dyDescent="0.3">
      <c r="A775" s="7"/>
      <c r="B775" s="7"/>
      <c r="C775" s="11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8"/>
      <c r="BX775" s="7"/>
      <c r="BY775" s="7"/>
      <c r="BZ775" s="7"/>
      <c r="CA775" s="7"/>
      <c r="CB775" s="7"/>
      <c r="CC775" s="7"/>
    </row>
    <row r="776" spans="1:81" ht="12" customHeight="1" x14ac:dyDescent="0.3">
      <c r="A776" s="7"/>
      <c r="B776" s="7"/>
      <c r="C776" s="11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8"/>
      <c r="BX776" s="7"/>
      <c r="BY776" s="7"/>
      <c r="BZ776" s="7"/>
      <c r="CA776" s="7"/>
      <c r="CB776" s="7"/>
      <c r="CC776" s="7"/>
    </row>
    <row r="777" spans="1:81" ht="12" customHeight="1" x14ac:dyDescent="0.3">
      <c r="A777" s="7"/>
      <c r="B777" s="7"/>
      <c r="C777" s="11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8"/>
      <c r="BX777" s="7"/>
      <c r="BY777" s="7"/>
      <c r="BZ777" s="7"/>
      <c r="CA777" s="7"/>
      <c r="CB777" s="7"/>
      <c r="CC777" s="7"/>
    </row>
    <row r="778" spans="1:81" ht="12" customHeight="1" x14ac:dyDescent="0.3">
      <c r="A778" s="7"/>
      <c r="B778" s="7"/>
      <c r="C778" s="11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8"/>
      <c r="BX778" s="7"/>
      <c r="BY778" s="7"/>
      <c r="BZ778" s="7"/>
      <c r="CA778" s="7"/>
      <c r="CB778" s="7"/>
      <c r="CC778" s="7"/>
    </row>
    <row r="779" spans="1:81" ht="12" customHeight="1" x14ac:dyDescent="0.3">
      <c r="A779" s="7"/>
      <c r="B779" s="7"/>
      <c r="C779" s="11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8"/>
      <c r="BX779" s="7"/>
      <c r="BY779" s="7"/>
      <c r="BZ779" s="7"/>
      <c r="CA779" s="7"/>
      <c r="CB779" s="7"/>
      <c r="CC779" s="7"/>
    </row>
    <row r="780" spans="1:81" ht="12" customHeight="1" x14ac:dyDescent="0.3">
      <c r="A780" s="7"/>
      <c r="B780" s="7"/>
      <c r="C780" s="11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8"/>
      <c r="BX780" s="7"/>
      <c r="BY780" s="7"/>
      <c r="BZ780" s="7"/>
      <c r="CA780" s="7"/>
      <c r="CB780" s="7"/>
      <c r="CC780" s="7"/>
    </row>
    <row r="781" spans="1:81" ht="12" customHeight="1" x14ac:dyDescent="0.3">
      <c r="A781" s="7"/>
      <c r="B781" s="7"/>
      <c r="C781" s="11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8"/>
      <c r="BX781" s="7"/>
      <c r="BY781" s="7"/>
      <c r="BZ781" s="7"/>
      <c r="CA781" s="7"/>
      <c r="CB781" s="7"/>
      <c r="CC781" s="7"/>
    </row>
    <row r="782" spans="1:81" ht="12" customHeight="1" x14ac:dyDescent="0.3">
      <c r="A782" s="7"/>
      <c r="B782" s="7"/>
      <c r="C782" s="11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8"/>
      <c r="BX782" s="7"/>
      <c r="BY782" s="7"/>
      <c r="BZ782" s="7"/>
      <c r="CA782" s="7"/>
      <c r="CB782" s="7"/>
      <c r="CC782" s="7"/>
    </row>
    <row r="783" spans="1:81" ht="12" customHeight="1" x14ac:dyDescent="0.3">
      <c r="A783" s="7"/>
      <c r="B783" s="7"/>
      <c r="C783" s="11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8"/>
      <c r="BX783" s="7"/>
      <c r="BY783" s="7"/>
      <c r="BZ783" s="7"/>
      <c r="CA783" s="7"/>
      <c r="CB783" s="7"/>
      <c r="CC783" s="7"/>
    </row>
    <row r="784" spans="1:81" ht="12" customHeight="1" x14ac:dyDescent="0.3">
      <c r="A784" s="7"/>
      <c r="B784" s="7"/>
      <c r="C784" s="11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8"/>
      <c r="BX784" s="7"/>
      <c r="BY784" s="7"/>
      <c r="BZ784" s="7"/>
      <c r="CA784" s="7"/>
      <c r="CB784" s="7"/>
      <c r="CC784" s="7"/>
    </row>
    <row r="785" spans="1:81" ht="12" customHeight="1" x14ac:dyDescent="0.3">
      <c r="A785" s="7"/>
      <c r="B785" s="7"/>
      <c r="C785" s="11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8"/>
      <c r="BX785" s="7"/>
      <c r="BY785" s="7"/>
      <c r="BZ785" s="7"/>
      <c r="CA785" s="7"/>
      <c r="CB785" s="7"/>
      <c r="CC785" s="7"/>
    </row>
    <row r="786" spans="1:81" ht="12" customHeight="1" x14ac:dyDescent="0.3">
      <c r="A786" s="7"/>
      <c r="B786" s="7"/>
      <c r="C786" s="11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8"/>
      <c r="BX786" s="7"/>
      <c r="BY786" s="7"/>
      <c r="BZ786" s="7"/>
      <c r="CA786" s="7"/>
      <c r="CB786" s="7"/>
      <c r="CC786" s="7"/>
    </row>
    <row r="787" spans="1:81" ht="12" customHeight="1" x14ac:dyDescent="0.3">
      <c r="A787" s="7"/>
      <c r="B787" s="7"/>
      <c r="C787" s="11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8"/>
      <c r="BX787" s="7"/>
      <c r="BY787" s="7"/>
      <c r="BZ787" s="7"/>
      <c r="CA787" s="7"/>
      <c r="CB787" s="7"/>
      <c r="CC787" s="7"/>
    </row>
    <row r="788" spans="1:81" ht="12" customHeight="1" x14ac:dyDescent="0.3">
      <c r="A788" s="7"/>
      <c r="B788" s="7"/>
      <c r="C788" s="11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8"/>
      <c r="BX788" s="7"/>
      <c r="BY788" s="7"/>
      <c r="BZ788" s="7"/>
      <c r="CA788" s="7"/>
      <c r="CB788" s="7"/>
      <c r="CC788" s="7"/>
    </row>
    <row r="789" spans="1:81" ht="12" customHeight="1" x14ac:dyDescent="0.3">
      <c r="A789" s="7"/>
      <c r="B789" s="7"/>
      <c r="C789" s="11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8"/>
      <c r="BX789" s="7"/>
      <c r="BY789" s="7"/>
      <c r="BZ789" s="7"/>
      <c r="CA789" s="7"/>
      <c r="CB789" s="7"/>
      <c r="CC789" s="7"/>
    </row>
    <row r="790" spans="1:81" ht="12" customHeight="1" x14ac:dyDescent="0.3">
      <c r="A790" s="7"/>
      <c r="B790" s="7"/>
      <c r="C790" s="11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8"/>
      <c r="BX790" s="7"/>
      <c r="BY790" s="7"/>
      <c r="BZ790" s="7"/>
      <c r="CA790" s="7"/>
      <c r="CB790" s="7"/>
      <c r="CC790" s="7"/>
    </row>
    <row r="791" spans="1:81" ht="12" customHeight="1" x14ac:dyDescent="0.3">
      <c r="A791" s="7"/>
      <c r="B791" s="7"/>
      <c r="C791" s="11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8"/>
      <c r="BX791" s="7"/>
      <c r="BY791" s="7"/>
      <c r="BZ791" s="7"/>
      <c r="CA791" s="7"/>
      <c r="CB791" s="7"/>
      <c r="CC791" s="7"/>
    </row>
    <row r="792" spans="1:81" ht="12" customHeight="1" x14ac:dyDescent="0.3">
      <c r="A792" s="7"/>
      <c r="B792" s="7"/>
      <c r="C792" s="11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8"/>
      <c r="BX792" s="7"/>
      <c r="BY792" s="7"/>
      <c r="BZ792" s="7"/>
      <c r="CA792" s="7"/>
      <c r="CB792" s="7"/>
      <c r="CC792" s="7"/>
    </row>
    <row r="793" spans="1:81" ht="12" customHeight="1" x14ac:dyDescent="0.3">
      <c r="A793" s="7"/>
      <c r="B793" s="7"/>
      <c r="C793" s="11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8"/>
      <c r="BX793" s="7"/>
      <c r="BY793" s="7"/>
      <c r="BZ793" s="7"/>
      <c r="CA793" s="7"/>
      <c r="CB793" s="7"/>
      <c r="CC793" s="7"/>
    </row>
    <row r="794" spans="1:81" ht="12" customHeight="1" x14ac:dyDescent="0.3">
      <c r="A794" s="7"/>
      <c r="B794" s="7"/>
      <c r="C794" s="11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8"/>
      <c r="BX794" s="7"/>
      <c r="BY794" s="7"/>
      <c r="BZ794" s="7"/>
      <c r="CA794" s="7"/>
      <c r="CB794" s="7"/>
      <c r="CC794" s="7"/>
    </row>
    <row r="795" spans="1:81" ht="12" customHeight="1" x14ac:dyDescent="0.3">
      <c r="A795" s="7"/>
      <c r="B795" s="7"/>
      <c r="C795" s="11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8"/>
      <c r="BX795" s="7"/>
      <c r="BY795" s="7"/>
      <c r="BZ795" s="7"/>
      <c r="CA795" s="7"/>
      <c r="CB795" s="7"/>
      <c r="CC795" s="7"/>
    </row>
    <row r="796" spans="1:81" ht="12" customHeight="1" x14ac:dyDescent="0.3">
      <c r="A796" s="7"/>
      <c r="B796" s="7"/>
      <c r="C796" s="11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8"/>
      <c r="BX796" s="7"/>
      <c r="BY796" s="7"/>
      <c r="BZ796" s="7"/>
      <c r="CA796" s="7"/>
      <c r="CB796" s="7"/>
      <c r="CC796" s="7"/>
    </row>
    <row r="797" spans="1:81" ht="12" customHeight="1" x14ac:dyDescent="0.3">
      <c r="A797" s="7"/>
      <c r="B797" s="7"/>
      <c r="C797" s="11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8"/>
      <c r="BX797" s="7"/>
      <c r="BY797" s="7"/>
      <c r="BZ797" s="7"/>
      <c r="CA797" s="7"/>
      <c r="CB797" s="7"/>
      <c r="CC797" s="7"/>
    </row>
    <row r="798" spans="1:81" ht="12" customHeight="1" x14ac:dyDescent="0.3">
      <c r="A798" s="7"/>
      <c r="B798" s="7"/>
      <c r="C798" s="11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8"/>
      <c r="BX798" s="7"/>
      <c r="BY798" s="7"/>
      <c r="BZ798" s="7"/>
      <c r="CA798" s="7"/>
      <c r="CB798" s="7"/>
      <c r="CC798" s="7"/>
    </row>
    <row r="799" spans="1:81" ht="12" customHeight="1" x14ac:dyDescent="0.3">
      <c r="A799" s="7"/>
      <c r="B799" s="7"/>
      <c r="C799" s="11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8"/>
      <c r="BX799" s="7"/>
      <c r="BY799" s="7"/>
      <c r="BZ799" s="7"/>
      <c r="CA799" s="7"/>
      <c r="CB799" s="7"/>
      <c r="CC799" s="7"/>
    </row>
    <row r="800" spans="1:81" ht="12" customHeight="1" x14ac:dyDescent="0.3">
      <c r="A800" s="7"/>
      <c r="B800" s="7"/>
      <c r="C800" s="11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8"/>
      <c r="BX800" s="7"/>
      <c r="BY800" s="7"/>
      <c r="BZ800" s="7"/>
      <c r="CA800" s="7"/>
      <c r="CB800" s="7"/>
      <c r="CC800" s="7"/>
    </row>
    <row r="801" spans="1:81" ht="12" customHeight="1" x14ac:dyDescent="0.3">
      <c r="A801" s="7"/>
      <c r="B801" s="7"/>
      <c r="C801" s="11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8"/>
      <c r="BX801" s="7"/>
      <c r="BY801" s="7"/>
      <c r="BZ801" s="7"/>
      <c r="CA801" s="7"/>
      <c r="CB801" s="7"/>
      <c r="CC801" s="7"/>
    </row>
    <row r="802" spans="1:81" ht="12" customHeight="1" x14ac:dyDescent="0.3">
      <c r="A802" s="7"/>
      <c r="B802" s="7"/>
      <c r="C802" s="11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8"/>
      <c r="BX802" s="7"/>
      <c r="BY802" s="7"/>
      <c r="BZ802" s="7"/>
      <c r="CA802" s="7"/>
      <c r="CB802" s="7"/>
      <c r="CC802" s="7"/>
    </row>
    <row r="803" spans="1:81" ht="12" customHeight="1" x14ac:dyDescent="0.3">
      <c r="A803" s="7"/>
      <c r="B803" s="7"/>
      <c r="C803" s="11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8"/>
      <c r="BX803" s="7"/>
      <c r="BY803" s="7"/>
      <c r="BZ803" s="7"/>
      <c r="CA803" s="7"/>
      <c r="CB803" s="7"/>
      <c r="CC803" s="7"/>
    </row>
    <row r="804" spans="1:81" ht="12" customHeight="1" x14ac:dyDescent="0.3">
      <c r="A804" s="7"/>
      <c r="B804" s="7"/>
      <c r="C804" s="11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8"/>
      <c r="BX804" s="7"/>
      <c r="BY804" s="7"/>
      <c r="BZ804" s="7"/>
      <c r="CA804" s="7"/>
      <c r="CB804" s="7"/>
      <c r="CC804" s="7"/>
    </row>
    <row r="805" spans="1:81" ht="12" customHeight="1" x14ac:dyDescent="0.3">
      <c r="A805" s="7"/>
      <c r="B805" s="7"/>
      <c r="C805" s="11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8"/>
      <c r="BX805" s="7"/>
      <c r="BY805" s="7"/>
      <c r="BZ805" s="7"/>
      <c r="CA805" s="7"/>
      <c r="CB805" s="7"/>
      <c r="CC805" s="7"/>
    </row>
    <row r="806" spans="1:81" ht="12" customHeight="1" x14ac:dyDescent="0.3">
      <c r="A806" s="7"/>
      <c r="B806" s="7"/>
      <c r="C806" s="11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8"/>
      <c r="BX806" s="7"/>
      <c r="BY806" s="7"/>
      <c r="BZ806" s="7"/>
      <c r="CA806" s="7"/>
      <c r="CB806" s="7"/>
      <c r="CC806" s="7"/>
    </row>
    <row r="807" spans="1:81" ht="12" customHeight="1" x14ac:dyDescent="0.3">
      <c r="A807" s="7"/>
      <c r="B807" s="7"/>
      <c r="C807" s="11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8"/>
      <c r="BX807" s="7"/>
      <c r="BY807" s="7"/>
      <c r="BZ807" s="7"/>
      <c r="CA807" s="7"/>
      <c r="CB807" s="7"/>
      <c r="CC807" s="7"/>
    </row>
    <row r="808" spans="1:81" ht="12" customHeight="1" x14ac:dyDescent="0.3">
      <c r="A808" s="7"/>
      <c r="B808" s="7"/>
      <c r="C808" s="11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8"/>
      <c r="BX808" s="7"/>
      <c r="BY808" s="7"/>
      <c r="BZ808" s="7"/>
      <c r="CA808" s="7"/>
      <c r="CB808" s="7"/>
      <c r="CC808" s="7"/>
    </row>
    <row r="809" spans="1:81" ht="12" customHeight="1" x14ac:dyDescent="0.3">
      <c r="A809" s="7"/>
      <c r="B809" s="7"/>
      <c r="C809" s="11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8"/>
      <c r="BX809" s="7"/>
      <c r="BY809" s="7"/>
      <c r="BZ809" s="7"/>
      <c r="CA809" s="7"/>
      <c r="CB809" s="7"/>
      <c r="CC809" s="7"/>
    </row>
    <row r="810" spans="1:81" ht="12" customHeight="1" x14ac:dyDescent="0.3">
      <c r="A810" s="7"/>
      <c r="B810" s="7"/>
      <c r="C810" s="11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8"/>
      <c r="BX810" s="7"/>
      <c r="BY810" s="7"/>
      <c r="BZ810" s="7"/>
      <c r="CA810" s="7"/>
      <c r="CB810" s="7"/>
      <c r="CC810" s="7"/>
    </row>
    <row r="811" spans="1:81" ht="12" customHeight="1" x14ac:dyDescent="0.3">
      <c r="A811" s="7"/>
      <c r="B811" s="7"/>
      <c r="C811" s="11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8"/>
      <c r="BX811" s="7"/>
      <c r="BY811" s="7"/>
      <c r="BZ811" s="7"/>
      <c r="CA811" s="7"/>
      <c r="CB811" s="7"/>
      <c r="CC811" s="7"/>
    </row>
    <row r="812" spans="1:81" ht="12" customHeight="1" x14ac:dyDescent="0.3">
      <c r="A812" s="7"/>
      <c r="B812" s="7"/>
      <c r="C812" s="11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8"/>
      <c r="BX812" s="7"/>
      <c r="BY812" s="7"/>
      <c r="BZ812" s="7"/>
      <c r="CA812" s="7"/>
      <c r="CB812" s="7"/>
      <c r="CC812" s="7"/>
    </row>
    <row r="813" spans="1:81" ht="12" customHeight="1" x14ac:dyDescent="0.3">
      <c r="A813" s="7"/>
      <c r="B813" s="7"/>
      <c r="C813" s="11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8"/>
      <c r="BX813" s="7"/>
      <c r="BY813" s="7"/>
      <c r="BZ813" s="7"/>
      <c r="CA813" s="7"/>
      <c r="CB813" s="7"/>
      <c r="CC813" s="7"/>
    </row>
    <row r="814" spans="1:81" ht="12" customHeight="1" x14ac:dyDescent="0.3">
      <c r="A814" s="7"/>
      <c r="B814" s="7"/>
      <c r="C814" s="11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8"/>
      <c r="BX814" s="7"/>
      <c r="BY814" s="7"/>
      <c r="BZ814" s="7"/>
      <c r="CA814" s="7"/>
      <c r="CB814" s="7"/>
      <c r="CC814" s="7"/>
    </row>
    <row r="815" spans="1:81" ht="12" customHeight="1" x14ac:dyDescent="0.3">
      <c r="A815" s="7"/>
      <c r="B815" s="7"/>
      <c r="C815" s="11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8"/>
      <c r="BX815" s="7"/>
      <c r="BY815" s="7"/>
      <c r="BZ815" s="7"/>
      <c r="CA815" s="7"/>
      <c r="CB815" s="7"/>
      <c r="CC815" s="7"/>
    </row>
    <row r="816" spans="1:81" ht="12" customHeight="1" x14ac:dyDescent="0.3">
      <c r="A816" s="7"/>
      <c r="B816" s="7"/>
      <c r="C816" s="11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8"/>
      <c r="BX816" s="7"/>
      <c r="BY816" s="7"/>
      <c r="BZ816" s="7"/>
      <c r="CA816" s="7"/>
      <c r="CB816" s="7"/>
      <c r="CC816" s="7"/>
    </row>
    <row r="817" spans="1:81" ht="12" customHeight="1" x14ac:dyDescent="0.3">
      <c r="A817" s="7"/>
      <c r="B817" s="7"/>
      <c r="C817" s="11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8"/>
      <c r="BX817" s="7"/>
      <c r="BY817" s="7"/>
      <c r="BZ817" s="7"/>
      <c r="CA817" s="7"/>
      <c r="CB817" s="7"/>
      <c r="CC817" s="7"/>
    </row>
    <row r="818" spans="1:81" ht="12" customHeight="1" x14ac:dyDescent="0.3">
      <c r="A818" s="7"/>
      <c r="B818" s="7"/>
      <c r="C818" s="11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8"/>
      <c r="BX818" s="7"/>
      <c r="BY818" s="7"/>
      <c r="BZ818" s="7"/>
      <c r="CA818" s="7"/>
      <c r="CB818" s="7"/>
      <c r="CC818" s="7"/>
    </row>
    <row r="819" spans="1:81" ht="12" customHeight="1" x14ac:dyDescent="0.3">
      <c r="A819" s="7"/>
      <c r="B819" s="7"/>
      <c r="C819" s="11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8"/>
      <c r="BX819" s="7"/>
      <c r="BY819" s="7"/>
      <c r="BZ819" s="7"/>
      <c r="CA819" s="7"/>
      <c r="CB819" s="7"/>
      <c r="CC819" s="7"/>
    </row>
    <row r="820" spans="1:81" ht="12" customHeight="1" x14ac:dyDescent="0.3">
      <c r="A820" s="7"/>
      <c r="B820" s="7"/>
      <c r="C820" s="11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8"/>
      <c r="BX820" s="7"/>
      <c r="BY820" s="7"/>
      <c r="BZ820" s="7"/>
      <c r="CA820" s="7"/>
      <c r="CB820" s="7"/>
      <c r="CC820" s="7"/>
    </row>
    <row r="821" spans="1:81" ht="12" customHeight="1" x14ac:dyDescent="0.3">
      <c r="A821" s="7"/>
      <c r="B821" s="7"/>
      <c r="C821" s="11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8"/>
      <c r="BX821" s="7"/>
      <c r="BY821" s="7"/>
      <c r="BZ821" s="7"/>
      <c r="CA821" s="7"/>
      <c r="CB821" s="7"/>
      <c r="CC821" s="7"/>
    </row>
    <row r="822" spans="1:81" ht="12" customHeight="1" x14ac:dyDescent="0.3">
      <c r="A822" s="7"/>
      <c r="B822" s="7"/>
      <c r="C822" s="11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8"/>
      <c r="BX822" s="7"/>
      <c r="BY822" s="7"/>
      <c r="BZ822" s="7"/>
      <c r="CA822" s="7"/>
      <c r="CB822" s="7"/>
      <c r="CC822" s="7"/>
    </row>
    <row r="823" spans="1:81" ht="12" customHeight="1" x14ac:dyDescent="0.3">
      <c r="A823" s="7"/>
      <c r="B823" s="7"/>
      <c r="C823" s="11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8"/>
      <c r="BX823" s="7"/>
      <c r="BY823" s="7"/>
      <c r="BZ823" s="7"/>
      <c r="CA823" s="7"/>
      <c r="CB823" s="7"/>
      <c r="CC823" s="7"/>
    </row>
    <row r="824" spans="1:81" ht="12" customHeight="1" x14ac:dyDescent="0.3">
      <c r="A824" s="7"/>
      <c r="B824" s="7"/>
      <c r="C824" s="11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8"/>
      <c r="BX824" s="7"/>
      <c r="BY824" s="7"/>
      <c r="BZ824" s="7"/>
      <c r="CA824" s="7"/>
      <c r="CB824" s="7"/>
      <c r="CC824" s="7"/>
    </row>
    <row r="825" spans="1:81" ht="12" customHeight="1" x14ac:dyDescent="0.3">
      <c r="A825" s="7"/>
      <c r="B825" s="7"/>
      <c r="C825" s="11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8"/>
      <c r="BX825" s="7"/>
      <c r="BY825" s="7"/>
      <c r="BZ825" s="7"/>
      <c r="CA825" s="7"/>
      <c r="CB825" s="7"/>
      <c r="CC825" s="7"/>
    </row>
    <row r="826" spans="1:81" ht="12" customHeight="1" x14ac:dyDescent="0.3">
      <c r="A826" s="7"/>
      <c r="B826" s="7"/>
      <c r="C826" s="11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8"/>
      <c r="BX826" s="7"/>
      <c r="BY826" s="7"/>
      <c r="BZ826" s="7"/>
      <c r="CA826" s="7"/>
      <c r="CB826" s="7"/>
      <c r="CC826" s="7"/>
    </row>
    <row r="827" spans="1:81" ht="12" customHeight="1" x14ac:dyDescent="0.3">
      <c r="A827" s="7"/>
      <c r="B827" s="7"/>
      <c r="C827" s="11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8"/>
      <c r="BX827" s="7"/>
      <c r="BY827" s="7"/>
      <c r="BZ827" s="7"/>
      <c r="CA827" s="7"/>
      <c r="CB827" s="7"/>
      <c r="CC827" s="7"/>
    </row>
    <row r="828" spans="1:81" ht="12" customHeight="1" x14ac:dyDescent="0.3">
      <c r="A828" s="7"/>
      <c r="B828" s="7"/>
      <c r="C828" s="11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8"/>
      <c r="BX828" s="7"/>
      <c r="BY828" s="7"/>
      <c r="BZ828" s="7"/>
      <c r="CA828" s="7"/>
      <c r="CB828" s="7"/>
      <c r="CC828" s="7"/>
    </row>
    <row r="829" spans="1:81" ht="12" customHeight="1" x14ac:dyDescent="0.3">
      <c r="A829" s="7"/>
      <c r="B829" s="7"/>
      <c r="C829" s="11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8"/>
      <c r="BX829" s="7"/>
      <c r="BY829" s="7"/>
      <c r="BZ829" s="7"/>
      <c r="CA829" s="7"/>
      <c r="CB829" s="7"/>
      <c r="CC829" s="7"/>
    </row>
    <row r="830" spans="1:81" ht="12" customHeight="1" x14ac:dyDescent="0.3">
      <c r="A830" s="7"/>
      <c r="B830" s="7"/>
      <c r="C830" s="11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8"/>
      <c r="BX830" s="7"/>
      <c r="BY830" s="7"/>
      <c r="BZ830" s="7"/>
      <c r="CA830" s="7"/>
      <c r="CB830" s="7"/>
      <c r="CC830" s="7"/>
    </row>
    <row r="831" spans="1:81" ht="12" customHeight="1" x14ac:dyDescent="0.3">
      <c r="A831" s="7"/>
      <c r="B831" s="7"/>
      <c r="C831" s="11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8"/>
      <c r="BX831" s="7"/>
      <c r="BY831" s="7"/>
      <c r="BZ831" s="7"/>
      <c r="CA831" s="7"/>
      <c r="CB831" s="7"/>
      <c r="CC831" s="7"/>
    </row>
    <row r="832" spans="1:81" ht="12" customHeight="1" x14ac:dyDescent="0.3">
      <c r="A832" s="7"/>
      <c r="B832" s="7"/>
      <c r="C832" s="11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8"/>
      <c r="BX832" s="7"/>
      <c r="BY832" s="7"/>
      <c r="BZ832" s="7"/>
      <c r="CA832" s="7"/>
      <c r="CB832" s="7"/>
      <c r="CC832" s="7"/>
    </row>
    <row r="833" spans="1:81" ht="12" customHeight="1" x14ac:dyDescent="0.3">
      <c r="A833" s="7"/>
      <c r="B833" s="7"/>
      <c r="C833" s="11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8"/>
      <c r="BX833" s="7"/>
      <c r="BY833" s="7"/>
      <c r="BZ833" s="7"/>
      <c r="CA833" s="7"/>
      <c r="CB833" s="7"/>
      <c r="CC833" s="7"/>
    </row>
    <row r="834" spans="1:81" ht="12" customHeight="1" x14ac:dyDescent="0.3">
      <c r="A834" s="7"/>
      <c r="B834" s="7"/>
      <c r="C834" s="11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8"/>
      <c r="BX834" s="7"/>
      <c r="BY834" s="7"/>
      <c r="BZ834" s="7"/>
      <c r="CA834" s="7"/>
      <c r="CB834" s="7"/>
      <c r="CC834" s="7"/>
    </row>
    <row r="835" spans="1:81" ht="12" customHeight="1" x14ac:dyDescent="0.3">
      <c r="A835" s="7"/>
      <c r="B835" s="7"/>
      <c r="C835" s="11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8"/>
      <c r="BX835" s="7"/>
      <c r="BY835" s="7"/>
      <c r="BZ835" s="7"/>
      <c r="CA835" s="7"/>
      <c r="CB835" s="7"/>
      <c r="CC835" s="7"/>
    </row>
    <row r="836" spans="1:81" ht="12" customHeight="1" x14ac:dyDescent="0.3">
      <c r="A836" s="7"/>
      <c r="B836" s="7"/>
      <c r="C836" s="11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8"/>
      <c r="BX836" s="7"/>
      <c r="BY836" s="7"/>
      <c r="BZ836" s="7"/>
      <c r="CA836" s="7"/>
      <c r="CB836" s="7"/>
      <c r="CC836" s="7"/>
    </row>
    <row r="837" spans="1:81" ht="12" customHeight="1" x14ac:dyDescent="0.3">
      <c r="A837" s="7"/>
      <c r="B837" s="7"/>
      <c r="C837" s="11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8"/>
      <c r="BX837" s="7"/>
      <c r="BY837" s="7"/>
      <c r="BZ837" s="7"/>
      <c r="CA837" s="7"/>
      <c r="CB837" s="7"/>
      <c r="CC837" s="7"/>
    </row>
    <row r="838" spans="1:81" ht="12" customHeight="1" x14ac:dyDescent="0.3">
      <c r="A838" s="7"/>
      <c r="B838" s="7"/>
      <c r="C838" s="11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8"/>
      <c r="BX838" s="7"/>
      <c r="BY838" s="7"/>
      <c r="BZ838" s="7"/>
      <c r="CA838" s="7"/>
      <c r="CB838" s="7"/>
      <c r="CC838" s="7"/>
    </row>
    <row r="839" spans="1:81" ht="12" customHeight="1" x14ac:dyDescent="0.3">
      <c r="A839" s="7"/>
      <c r="B839" s="7"/>
      <c r="C839" s="11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8"/>
      <c r="BX839" s="7"/>
      <c r="BY839" s="7"/>
      <c r="BZ839" s="7"/>
      <c r="CA839" s="7"/>
      <c r="CB839" s="7"/>
      <c r="CC839" s="7"/>
    </row>
    <row r="840" spans="1:81" ht="12" customHeight="1" x14ac:dyDescent="0.3">
      <c r="A840" s="7"/>
      <c r="B840" s="7"/>
      <c r="C840" s="11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8"/>
      <c r="BX840" s="7"/>
      <c r="BY840" s="7"/>
      <c r="BZ840" s="7"/>
      <c r="CA840" s="7"/>
      <c r="CB840" s="7"/>
      <c r="CC840" s="7"/>
    </row>
    <row r="841" spans="1:81" ht="12" customHeight="1" x14ac:dyDescent="0.3">
      <c r="A841" s="7"/>
      <c r="B841" s="7"/>
      <c r="C841" s="11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8"/>
      <c r="BX841" s="7"/>
      <c r="BY841" s="7"/>
      <c r="BZ841" s="7"/>
      <c r="CA841" s="7"/>
      <c r="CB841" s="7"/>
      <c r="CC841" s="7"/>
    </row>
    <row r="842" spans="1:81" ht="12" customHeight="1" x14ac:dyDescent="0.3">
      <c r="A842" s="7"/>
      <c r="B842" s="7"/>
      <c r="C842" s="11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8"/>
      <c r="BX842" s="7"/>
      <c r="BY842" s="7"/>
      <c r="BZ842" s="7"/>
      <c r="CA842" s="7"/>
      <c r="CB842" s="7"/>
      <c r="CC842" s="7"/>
    </row>
    <row r="843" spans="1:81" ht="12" customHeight="1" x14ac:dyDescent="0.3">
      <c r="A843" s="7"/>
      <c r="B843" s="7"/>
      <c r="C843" s="11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8"/>
      <c r="BX843" s="7"/>
      <c r="BY843" s="7"/>
      <c r="BZ843" s="7"/>
      <c r="CA843" s="7"/>
      <c r="CB843" s="7"/>
      <c r="CC843" s="7"/>
    </row>
    <row r="844" spans="1:81" ht="12" customHeight="1" x14ac:dyDescent="0.3">
      <c r="A844" s="7"/>
      <c r="B844" s="7"/>
      <c r="C844" s="11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8"/>
      <c r="BX844" s="7"/>
      <c r="BY844" s="7"/>
      <c r="BZ844" s="7"/>
      <c r="CA844" s="7"/>
      <c r="CB844" s="7"/>
      <c r="CC844" s="7"/>
    </row>
    <row r="845" spans="1:81" ht="12" customHeight="1" x14ac:dyDescent="0.3">
      <c r="A845" s="7"/>
      <c r="B845" s="7"/>
      <c r="C845" s="11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8"/>
      <c r="BX845" s="7"/>
      <c r="BY845" s="7"/>
      <c r="BZ845" s="7"/>
      <c r="CA845" s="7"/>
      <c r="CB845" s="7"/>
      <c r="CC845" s="7"/>
    </row>
    <row r="846" spans="1:81" ht="12" customHeight="1" x14ac:dyDescent="0.3">
      <c r="A846" s="7"/>
      <c r="B846" s="7"/>
      <c r="C846" s="11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8"/>
      <c r="BX846" s="7"/>
      <c r="BY846" s="7"/>
      <c r="BZ846" s="7"/>
      <c r="CA846" s="7"/>
      <c r="CB846" s="7"/>
      <c r="CC846" s="7"/>
    </row>
    <row r="847" spans="1:81" ht="12" customHeight="1" x14ac:dyDescent="0.3">
      <c r="A847" s="7"/>
      <c r="B847" s="7"/>
      <c r="C847" s="11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8"/>
      <c r="BX847" s="7"/>
      <c r="BY847" s="7"/>
      <c r="BZ847" s="7"/>
      <c r="CA847" s="7"/>
      <c r="CB847" s="7"/>
      <c r="CC847" s="7"/>
    </row>
    <row r="848" spans="1:81" ht="12" customHeight="1" x14ac:dyDescent="0.3">
      <c r="A848" s="7"/>
      <c r="B848" s="7"/>
      <c r="C848" s="11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8"/>
      <c r="BX848" s="7"/>
      <c r="BY848" s="7"/>
      <c r="BZ848" s="7"/>
      <c r="CA848" s="7"/>
      <c r="CB848" s="7"/>
      <c r="CC848" s="7"/>
    </row>
    <row r="849" spans="1:81" ht="12" customHeight="1" x14ac:dyDescent="0.3">
      <c r="A849" s="7"/>
      <c r="B849" s="7"/>
      <c r="C849" s="11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8"/>
      <c r="BX849" s="7"/>
      <c r="BY849" s="7"/>
      <c r="BZ849" s="7"/>
      <c r="CA849" s="7"/>
      <c r="CB849" s="7"/>
      <c r="CC849" s="7"/>
    </row>
    <row r="850" spans="1:81" ht="12" customHeight="1" x14ac:dyDescent="0.3">
      <c r="A850" s="7"/>
      <c r="B850" s="7"/>
      <c r="C850" s="11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8"/>
      <c r="BX850" s="7"/>
      <c r="BY850" s="7"/>
      <c r="BZ850" s="7"/>
      <c r="CA850" s="7"/>
      <c r="CB850" s="7"/>
      <c r="CC850" s="7"/>
    </row>
    <row r="851" spans="1:81" ht="12" customHeight="1" x14ac:dyDescent="0.3">
      <c r="A851" s="7"/>
      <c r="B851" s="7"/>
      <c r="C851" s="11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8"/>
      <c r="BX851" s="7"/>
      <c r="BY851" s="7"/>
      <c r="BZ851" s="7"/>
      <c r="CA851" s="7"/>
      <c r="CB851" s="7"/>
      <c r="CC851" s="7"/>
    </row>
    <row r="852" spans="1:81" ht="12" customHeight="1" x14ac:dyDescent="0.3">
      <c r="A852" s="7"/>
      <c r="B852" s="7"/>
      <c r="C852" s="11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8"/>
      <c r="BX852" s="7"/>
      <c r="BY852" s="7"/>
      <c r="BZ852" s="7"/>
      <c r="CA852" s="7"/>
      <c r="CB852" s="7"/>
      <c r="CC852" s="7"/>
    </row>
    <row r="853" spans="1:81" ht="12" customHeight="1" x14ac:dyDescent="0.3">
      <c r="A853" s="7"/>
      <c r="B853" s="7"/>
      <c r="C853" s="11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8"/>
      <c r="BX853" s="7"/>
      <c r="BY853" s="7"/>
      <c r="BZ853" s="7"/>
      <c r="CA853" s="7"/>
      <c r="CB853" s="7"/>
      <c r="CC853" s="7"/>
    </row>
    <row r="854" spans="1:81" ht="12" customHeight="1" x14ac:dyDescent="0.3">
      <c r="A854" s="7"/>
      <c r="B854" s="7"/>
      <c r="C854" s="11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8"/>
      <c r="BX854" s="7"/>
      <c r="BY854" s="7"/>
      <c r="BZ854" s="7"/>
      <c r="CA854" s="7"/>
      <c r="CB854" s="7"/>
      <c r="CC854" s="7"/>
    </row>
    <row r="855" spans="1:81" ht="12" customHeight="1" x14ac:dyDescent="0.3">
      <c r="A855" s="7"/>
      <c r="B855" s="7"/>
      <c r="C855" s="11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8"/>
      <c r="BX855" s="7"/>
      <c r="BY855" s="7"/>
      <c r="BZ855" s="7"/>
      <c r="CA855" s="7"/>
      <c r="CB855" s="7"/>
      <c r="CC855" s="7"/>
    </row>
    <row r="856" spans="1:81" ht="12" customHeight="1" x14ac:dyDescent="0.3">
      <c r="A856" s="7"/>
      <c r="B856" s="7"/>
      <c r="C856" s="11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8"/>
      <c r="BX856" s="7"/>
      <c r="BY856" s="7"/>
      <c r="BZ856" s="7"/>
      <c r="CA856" s="7"/>
      <c r="CB856" s="7"/>
      <c r="CC856" s="7"/>
    </row>
    <row r="857" spans="1:81" ht="12" customHeight="1" x14ac:dyDescent="0.3">
      <c r="A857" s="7"/>
      <c r="B857" s="7"/>
      <c r="C857" s="11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8"/>
      <c r="BX857" s="7"/>
      <c r="BY857" s="7"/>
      <c r="BZ857" s="7"/>
      <c r="CA857" s="7"/>
      <c r="CB857" s="7"/>
      <c r="CC857" s="7"/>
    </row>
    <row r="858" spans="1:81" ht="12" customHeight="1" x14ac:dyDescent="0.3">
      <c r="A858" s="7"/>
      <c r="B858" s="7"/>
      <c r="C858" s="11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8"/>
      <c r="BX858" s="7"/>
      <c r="BY858" s="7"/>
      <c r="BZ858" s="7"/>
      <c r="CA858" s="7"/>
      <c r="CB858" s="7"/>
      <c r="CC858" s="7"/>
    </row>
    <row r="859" spans="1:81" ht="12" customHeight="1" x14ac:dyDescent="0.3">
      <c r="A859" s="7"/>
      <c r="B859" s="7"/>
      <c r="C859" s="11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8"/>
      <c r="BX859" s="7"/>
      <c r="BY859" s="7"/>
      <c r="BZ859" s="7"/>
      <c r="CA859" s="7"/>
      <c r="CB859" s="7"/>
      <c r="CC859" s="7"/>
    </row>
    <row r="860" spans="1:81" ht="12" customHeight="1" x14ac:dyDescent="0.3">
      <c r="A860" s="7"/>
      <c r="B860" s="7"/>
      <c r="C860" s="11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8"/>
      <c r="BX860" s="7"/>
      <c r="BY860" s="7"/>
      <c r="BZ860" s="7"/>
      <c r="CA860" s="7"/>
      <c r="CB860" s="7"/>
      <c r="CC860" s="7"/>
    </row>
    <row r="861" spans="1:81" ht="12" customHeight="1" x14ac:dyDescent="0.3">
      <c r="A861" s="7"/>
      <c r="B861" s="7"/>
      <c r="C861" s="11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8"/>
      <c r="BX861" s="7"/>
      <c r="BY861" s="7"/>
      <c r="BZ861" s="7"/>
      <c r="CA861" s="7"/>
      <c r="CB861" s="7"/>
      <c r="CC861" s="7"/>
    </row>
    <row r="862" spans="1:81" ht="12" customHeight="1" x14ac:dyDescent="0.3">
      <c r="A862" s="7"/>
      <c r="B862" s="7"/>
      <c r="C862" s="11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8"/>
      <c r="BX862" s="7"/>
      <c r="BY862" s="7"/>
      <c r="BZ862" s="7"/>
      <c r="CA862" s="7"/>
      <c r="CB862" s="7"/>
      <c r="CC862" s="7"/>
    </row>
    <row r="863" spans="1:81" ht="12" customHeight="1" x14ac:dyDescent="0.3">
      <c r="A863" s="7"/>
      <c r="B863" s="7"/>
      <c r="C863" s="11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8"/>
      <c r="BX863" s="7"/>
      <c r="BY863" s="7"/>
      <c r="BZ863" s="7"/>
      <c r="CA863" s="7"/>
      <c r="CB863" s="7"/>
      <c r="CC863" s="7"/>
    </row>
    <row r="864" spans="1:81" ht="12" customHeight="1" x14ac:dyDescent="0.3">
      <c r="A864" s="7"/>
      <c r="B864" s="7"/>
      <c r="C864" s="11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8"/>
      <c r="BX864" s="7"/>
      <c r="BY864" s="7"/>
      <c r="BZ864" s="7"/>
      <c r="CA864" s="7"/>
      <c r="CB864" s="7"/>
      <c r="CC864" s="7"/>
    </row>
    <row r="865" spans="1:81" ht="12" customHeight="1" x14ac:dyDescent="0.3">
      <c r="A865" s="7"/>
      <c r="B865" s="7"/>
      <c r="C865" s="11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8"/>
      <c r="BX865" s="7"/>
      <c r="BY865" s="7"/>
      <c r="BZ865" s="7"/>
      <c r="CA865" s="7"/>
      <c r="CB865" s="7"/>
      <c r="CC865" s="7"/>
    </row>
    <row r="866" spans="1:81" ht="12" customHeight="1" x14ac:dyDescent="0.3">
      <c r="A866" s="7"/>
      <c r="B866" s="7"/>
      <c r="C866" s="11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8"/>
      <c r="BX866" s="7"/>
      <c r="BY866" s="7"/>
      <c r="BZ866" s="7"/>
      <c r="CA866" s="7"/>
      <c r="CB866" s="7"/>
      <c r="CC866" s="7"/>
    </row>
    <row r="867" spans="1:81" ht="12" customHeight="1" x14ac:dyDescent="0.3">
      <c r="A867" s="7"/>
      <c r="B867" s="7"/>
      <c r="C867" s="11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8"/>
      <c r="BX867" s="7"/>
      <c r="BY867" s="7"/>
      <c r="BZ867" s="7"/>
      <c r="CA867" s="7"/>
      <c r="CB867" s="7"/>
      <c r="CC867" s="7"/>
    </row>
    <row r="868" spans="1:81" ht="12" customHeight="1" x14ac:dyDescent="0.3">
      <c r="A868" s="7"/>
      <c r="B868" s="7"/>
      <c r="C868" s="11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8"/>
      <c r="BX868" s="7"/>
      <c r="BY868" s="7"/>
      <c r="BZ868" s="7"/>
      <c r="CA868" s="7"/>
      <c r="CB868" s="7"/>
      <c r="CC868" s="7"/>
    </row>
    <row r="869" spans="1:81" ht="12" customHeight="1" x14ac:dyDescent="0.3">
      <c r="A869" s="7"/>
      <c r="B869" s="7"/>
      <c r="C869" s="11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8"/>
      <c r="BX869" s="7"/>
      <c r="BY869" s="7"/>
      <c r="BZ869" s="7"/>
      <c r="CA869" s="7"/>
      <c r="CB869" s="7"/>
      <c r="CC869" s="7"/>
    </row>
    <row r="870" spans="1:81" ht="12" customHeight="1" x14ac:dyDescent="0.3">
      <c r="A870" s="7"/>
      <c r="B870" s="7"/>
      <c r="C870" s="11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8"/>
      <c r="BX870" s="7"/>
      <c r="BY870" s="7"/>
      <c r="BZ870" s="7"/>
      <c r="CA870" s="7"/>
      <c r="CB870" s="7"/>
      <c r="CC870" s="7"/>
    </row>
    <row r="871" spans="1:81" ht="12" customHeight="1" x14ac:dyDescent="0.3">
      <c r="A871" s="7"/>
      <c r="B871" s="7"/>
      <c r="C871" s="11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8"/>
      <c r="BX871" s="7"/>
      <c r="BY871" s="7"/>
      <c r="BZ871" s="7"/>
      <c r="CA871" s="7"/>
      <c r="CB871" s="7"/>
      <c r="CC871" s="7"/>
    </row>
    <row r="872" spans="1:81" ht="12" customHeight="1" x14ac:dyDescent="0.3">
      <c r="A872" s="7"/>
      <c r="B872" s="7"/>
      <c r="C872" s="11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8"/>
      <c r="BX872" s="7"/>
      <c r="BY872" s="7"/>
      <c r="BZ872" s="7"/>
      <c r="CA872" s="7"/>
      <c r="CB872" s="7"/>
      <c r="CC872" s="7"/>
    </row>
    <row r="873" spans="1:81" ht="12" customHeight="1" x14ac:dyDescent="0.3">
      <c r="A873" s="7"/>
      <c r="B873" s="7"/>
      <c r="C873" s="11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8"/>
      <c r="BX873" s="7"/>
      <c r="BY873" s="7"/>
      <c r="BZ873" s="7"/>
      <c r="CA873" s="7"/>
      <c r="CB873" s="7"/>
      <c r="CC873" s="7"/>
    </row>
    <row r="874" spans="1:81" ht="12" customHeight="1" x14ac:dyDescent="0.3">
      <c r="A874" s="7"/>
      <c r="B874" s="7"/>
      <c r="C874" s="11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8"/>
      <c r="BX874" s="7"/>
      <c r="BY874" s="7"/>
      <c r="BZ874" s="7"/>
      <c r="CA874" s="7"/>
      <c r="CB874" s="7"/>
      <c r="CC874" s="7"/>
    </row>
    <row r="875" spans="1:81" ht="12" customHeight="1" x14ac:dyDescent="0.3">
      <c r="A875" s="7"/>
      <c r="B875" s="7"/>
      <c r="C875" s="11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8"/>
      <c r="BX875" s="7"/>
      <c r="BY875" s="7"/>
      <c r="BZ875" s="7"/>
      <c r="CA875" s="7"/>
      <c r="CB875" s="7"/>
      <c r="CC875" s="7"/>
    </row>
    <row r="876" spans="1:81" ht="12" customHeight="1" x14ac:dyDescent="0.3">
      <c r="A876" s="7"/>
      <c r="B876" s="7"/>
      <c r="C876" s="11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8"/>
      <c r="BX876" s="7"/>
      <c r="BY876" s="7"/>
      <c r="BZ876" s="7"/>
      <c r="CA876" s="7"/>
      <c r="CB876" s="7"/>
      <c r="CC876" s="7"/>
    </row>
    <row r="877" spans="1:81" ht="12" customHeight="1" x14ac:dyDescent="0.3">
      <c r="A877" s="7"/>
      <c r="B877" s="7"/>
      <c r="C877" s="11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8"/>
      <c r="BX877" s="7"/>
      <c r="BY877" s="7"/>
      <c r="BZ877" s="7"/>
      <c r="CA877" s="7"/>
      <c r="CB877" s="7"/>
      <c r="CC877" s="7"/>
    </row>
    <row r="878" spans="1:81" ht="12" customHeight="1" x14ac:dyDescent="0.3">
      <c r="A878" s="7"/>
      <c r="B878" s="7"/>
      <c r="C878" s="11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8"/>
      <c r="BX878" s="7"/>
      <c r="BY878" s="7"/>
      <c r="BZ878" s="7"/>
      <c r="CA878" s="7"/>
      <c r="CB878" s="7"/>
      <c r="CC878" s="7"/>
    </row>
    <row r="879" spans="1:81" ht="12" customHeight="1" x14ac:dyDescent="0.3">
      <c r="A879" s="7"/>
      <c r="B879" s="7"/>
      <c r="C879" s="11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8"/>
      <c r="BX879" s="7"/>
      <c r="BY879" s="7"/>
      <c r="BZ879" s="7"/>
      <c r="CA879" s="7"/>
      <c r="CB879" s="7"/>
      <c r="CC879" s="7"/>
    </row>
    <row r="880" spans="1:81" ht="12" customHeight="1" x14ac:dyDescent="0.3">
      <c r="A880" s="7"/>
      <c r="B880" s="7"/>
      <c r="C880" s="11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8"/>
      <c r="BX880" s="7"/>
      <c r="BY880" s="7"/>
      <c r="BZ880" s="7"/>
      <c r="CA880" s="7"/>
      <c r="CB880" s="7"/>
      <c r="CC880" s="7"/>
    </row>
    <row r="881" spans="1:81" ht="12" customHeight="1" x14ac:dyDescent="0.3">
      <c r="A881" s="7"/>
      <c r="B881" s="7"/>
      <c r="C881" s="11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8"/>
      <c r="BX881" s="7"/>
      <c r="BY881" s="7"/>
      <c r="BZ881" s="7"/>
      <c r="CA881" s="7"/>
      <c r="CB881" s="7"/>
      <c r="CC881" s="7"/>
    </row>
    <row r="882" spans="1:81" ht="12" customHeight="1" x14ac:dyDescent="0.3">
      <c r="A882" s="7"/>
      <c r="B882" s="7"/>
      <c r="C882" s="11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8"/>
      <c r="BX882" s="7"/>
      <c r="BY882" s="7"/>
      <c r="BZ882" s="7"/>
      <c r="CA882" s="7"/>
      <c r="CB882" s="7"/>
      <c r="CC882" s="7"/>
    </row>
    <row r="883" spans="1:81" ht="12" customHeight="1" x14ac:dyDescent="0.3">
      <c r="A883" s="7"/>
      <c r="B883" s="7"/>
      <c r="C883" s="11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8"/>
      <c r="BX883" s="7"/>
      <c r="BY883" s="7"/>
      <c r="BZ883" s="7"/>
      <c r="CA883" s="7"/>
      <c r="CB883" s="7"/>
      <c r="CC883" s="7"/>
    </row>
    <row r="884" spans="1:81" ht="12" customHeight="1" x14ac:dyDescent="0.3">
      <c r="A884" s="7"/>
      <c r="B884" s="7"/>
      <c r="C884" s="11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8"/>
      <c r="BX884" s="7"/>
      <c r="BY884" s="7"/>
      <c r="BZ884" s="7"/>
      <c r="CA884" s="7"/>
      <c r="CB884" s="7"/>
      <c r="CC884" s="7"/>
    </row>
    <row r="885" spans="1:81" ht="12" customHeight="1" x14ac:dyDescent="0.3">
      <c r="A885" s="7"/>
      <c r="B885" s="7"/>
      <c r="C885" s="11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8"/>
      <c r="BX885" s="7"/>
      <c r="BY885" s="7"/>
      <c r="BZ885" s="7"/>
      <c r="CA885" s="7"/>
      <c r="CB885" s="7"/>
      <c r="CC885" s="7"/>
    </row>
    <row r="886" spans="1:81" ht="12" customHeight="1" x14ac:dyDescent="0.3">
      <c r="A886" s="7"/>
      <c r="B886" s="7"/>
      <c r="C886" s="11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8"/>
      <c r="BX886" s="7"/>
      <c r="BY886" s="7"/>
      <c r="BZ886" s="7"/>
      <c r="CA886" s="7"/>
      <c r="CB886" s="7"/>
      <c r="CC886" s="7"/>
    </row>
    <row r="887" spans="1:81" ht="12" customHeight="1" x14ac:dyDescent="0.3">
      <c r="A887" s="7"/>
      <c r="B887" s="7"/>
      <c r="C887" s="11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8"/>
      <c r="BX887" s="7"/>
      <c r="BY887" s="7"/>
      <c r="BZ887" s="7"/>
      <c r="CA887" s="7"/>
      <c r="CB887" s="7"/>
      <c r="CC887" s="7"/>
    </row>
    <row r="888" spans="1:81" ht="12" customHeight="1" x14ac:dyDescent="0.3">
      <c r="A888" s="7"/>
      <c r="B888" s="7"/>
      <c r="C888" s="11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8"/>
      <c r="BX888" s="7"/>
      <c r="BY888" s="7"/>
      <c r="BZ888" s="7"/>
      <c r="CA888" s="7"/>
      <c r="CB888" s="7"/>
      <c r="CC888" s="7"/>
    </row>
    <row r="889" spans="1:81" ht="12" customHeight="1" x14ac:dyDescent="0.3">
      <c r="A889" s="7"/>
      <c r="B889" s="7"/>
      <c r="C889" s="11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8"/>
      <c r="BX889" s="7"/>
      <c r="BY889" s="7"/>
      <c r="BZ889" s="7"/>
      <c r="CA889" s="7"/>
      <c r="CB889" s="7"/>
      <c r="CC889" s="7"/>
    </row>
    <row r="890" spans="1:81" ht="12" customHeight="1" x14ac:dyDescent="0.3">
      <c r="A890" s="7"/>
      <c r="B890" s="7"/>
      <c r="C890" s="11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8"/>
      <c r="BX890" s="7"/>
      <c r="BY890" s="7"/>
      <c r="BZ890" s="7"/>
      <c r="CA890" s="7"/>
      <c r="CB890" s="7"/>
      <c r="CC890" s="7"/>
    </row>
    <row r="891" spans="1:81" ht="12" customHeight="1" x14ac:dyDescent="0.3">
      <c r="A891" s="7"/>
      <c r="B891" s="7"/>
      <c r="C891" s="11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8"/>
      <c r="BX891" s="7"/>
      <c r="BY891" s="7"/>
      <c r="BZ891" s="7"/>
      <c r="CA891" s="7"/>
      <c r="CB891" s="7"/>
      <c r="CC891" s="7"/>
    </row>
    <row r="892" spans="1:81" ht="12" customHeight="1" x14ac:dyDescent="0.3">
      <c r="A892" s="7"/>
      <c r="B892" s="7"/>
      <c r="C892" s="11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8"/>
      <c r="BX892" s="7"/>
      <c r="BY892" s="7"/>
      <c r="BZ892" s="7"/>
      <c r="CA892" s="7"/>
      <c r="CB892" s="7"/>
      <c r="CC892" s="7"/>
    </row>
    <row r="893" spans="1:81" ht="12" customHeight="1" x14ac:dyDescent="0.3">
      <c r="A893" s="7"/>
      <c r="B893" s="7"/>
      <c r="C893" s="11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8"/>
      <c r="BX893" s="7"/>
      <c r="BY893" s="7"/>
      <c r="BZ893" s="7"/>
      <c r="CA893" s="7"/>
      <c r="CB893" s="7"/>
      <c r="CC893" s="7"/>
    </row>
    <row r="894" spans="1:81" ht="12" customHeight="1" x14ac:dyDescent="0.3">
      <c r="A894" s="7"/>
      <c r="B894" s="7"/>
      <c r="C894" s="11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8"/>
      <c r="BX894" s="7"/>
      <c r="BY894" s="7"/>
      <c r="BZ894" s="7"/>
      <c r="CA894" s="7"/>
      <c r="CB894" s="7"/>
      <c r="CC894" s="7"/>
    </row>
    <row r="895" spans="1:81" ht="12" customHeight="1" x14ac:dyDescent="0.3">
      <c r="A895" s="7"/>
      <c r="B895" s="7"/>
      <c r="C895" s="11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8"/>
      <c r="BX895" s="7"/>
      <c r="BY895" s="7"/>
      <c r="BZ895" s="7"/>
      <c r="CA895" s="7"/>
      <c r="CB895" s="7"/>
      <c r="CC895" s="7"/>
    </row>
    <row r="896" spans="1:81" ht="12" customHeight="1" x14ac:dyDescent="0.3">
      <c r="A896" s="7"/>
      <c r="B896" s="7"/>
      <c r="C896" s="11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8"/>
      <c r="BX896" s="7"/>
      <c r="BY896" s="7"/>
      <c r="BZ896" s="7"/>
      <c r="CA896" s="7"/>
      <c r="CB896" s="7"/>
      <c r="CC896" s="7"/>
    </row>
    <row r="897" spans="1:81" ht="12" customHeight="1" x14ac:dyDescent="0.3">
      <c r="A897" s="7"/>
      <c r="B897" s="7"/>
      <c r="C897" s="11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8"/>
      <c r="BX897" s="7"/>
      <c r="BY897" s="7"/>
      <c r="BZ897" s="7"/>
      <c r="CA897" s="7"/>
      <c r="CB897" s="7"/>
      <c r="CC897" s="7"/>
    </row>
    <row r="898" spans="1:81" ht="12" customHeight="1" x14ac:dyDescent="0.3">
      <c r="A898" s="7"/>
      <c r="B898" s="7"/>
      <c r="C898" s="11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8"/>
      <c r="BX898" s="7"/>
      <c r="BY898" s="7"/>
      <c r="BZ898" s="7"/>
      <c r="CA898" s="7"/>
      <c r="CB898" s="7"/>
      <c r="CC898" s="7"/>
    </row>
    <row r="899" spans="1:81" ht="12" customHeight="1" x14ac:dyDescent="0.3">
      <c r="A899" s="7"/>
      <c r="B899" s="7"/>
      <c r="C899" s="11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8"/>
      <c r="BX899" s="7"/>
      <c r="BY899" s="7"/>
      <c r="BZ899" s="7"/>
      <c r="CA899" s="7"/>
      <c r="CB899" s="7"/>
      <c r="CC899" s="7"/>
    </row>
    <row r="900" spans="1:81" ht="12" customHeight="1" x14ac:dyDescent="0.3">
      <c r="A900" s="7"/>
      <c r="B900" s="7"/>
      <c r="C900" s="11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8"/>
      <c r="BX900" s="7"/>
      <c r="BY900" s="7"/>
      <c r="BZ900" s="7"/>
      <c r="CA900" s="7"/>
      <c r="CB900" s="7"/>
      <c r="CC900" s="7"/>
    </row>
    <row r="901" spans="1:81" ht="12" customHeight="1" x14ac:dyDescent="0.3">
      <c r="A901" s="7"/>
      <c r="B901" s="7"/>
      <c r="C901" s="11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8"/>
      <c r="BX901" s="7"/>
      <c r="BY901" s="7"/>
      <c r="BZ901" s="7"/>
      <c r="CA901" s="7"/>
      <c r="CB901" s="7"/>
      <c r="CC901" s="7"/>
    </row>
    <row r="902" spans="1:81" ht="12" customHeight="1" x14ac:dyDescent="0.3">
      <c r="A902" s="7"/>
      <c r="B902" s="7"/>
      <c r="C902" s="11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8"/>
      <c r="BX902" s="7"/>
      <c r="BY902" s="7"/>
      <c r="BZ902" s="7"/>
      <c r="CA902" s="7"/>
      <c r="CB902" s="7"/>
      <c r="CC902" s="7"/>
    </row>
    <row r="903" spans="1:81" ht="12" customHeight="1" x14ac:dyDescent="0.3">
      <c r="A903" s="7"/>
      <c r="B903" s="7"/>
      <c r="C903" s="11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8"/>
      <c r="BX903" s="7"/>
      <c r="BY903" s="7"/>
      <c r="BZ903" s="7"/>
      <c r="CA903" s="7"/>
      <c r="CB903" s="7"/>
      <c r="CC903" s="7"/>
    </row>
    <row r="904" spans="1:81" ht="12" customHeight="1" x14ac:dyDescent="0.3">
      <c r="A904" s="7"/>
      <c r="B904" s="7"/>
      <c r="C904" s="11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8"/>
      <c r="BX904" s="7"/>
      <c r="BY904" s="7"/>
      <c r="BZ904" s="7"/>
      <c r="CA904" s="7"/>
      <c r="CB904" s="7"/>
      <c r="CC904" s="7"/>
    </row>
    <row r="905" spans="1:81" ht="12" customHeight="1" x14ac:dyDescent="0.3">
      <c r="A905" s="7"/>
      <c r="B905" s="7"/>
      <c r="C905" s="11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8"/>
      <c r="BX905" s="7"/>
      <c r="BY905" s="7"/>
      <c r="BZ905" s="7"/>
      <c r="CA905" s="7"/>
      <c r="CB905" s="7"/>
      <c r="CC905" s="7"/>
    </row>
    <row r="906" spans="1:81" ht="12" customHeight="1" x14ac:dyDescent="0.3">
      <c r="A906" s="7"/>
      <c r="B906" s="7"/>
      <c r="C906" s="11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8"/>
      <c r="BX906" s="7"/>
      <c r="BY906" s="7"/>
      <c r="BZ906" s="7"/>
      <c r="CA906" s="7"/>
      <c r="CB906" s="7"/>
      <c r="CC906" s="7"/>
    </row>
    <row r="907" spans="1:81" ht="12" customHeight="1" x14ac:dyDescent="0.3">
      <c r="A907" s="7"/>
      <c r="B907" s="7"/>
      <c r="C907" s="11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8"/>
      <c r="BX907" s="7"/>
      <c r="BY907" s="7"/>
      <c r="BZ907" s="7"/>
      <c r="CA907" s="7"/>
      <c r="CB907" s="7"/>
      <c r="CC907" s="7"/>
    </row>
    <row r="908" spans="1:81" ht="12" customHeight="1" x14ac:dyDescent="0.3">
      <c r="A908" s="7"/>
      <c r="B908" s="7"/>
      <c r="C908" s="11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8"/>
      <c r="BX908" s="7"/>
      <c r="BY908" s="7"/>
      <c r="BZ908" s="7"/>
      <c r="CA908" s="7"/>
      <c r="CB908" s="7"/>
      <c r="CC908" s="7"/>
    </row>
    <row r="909" spans="1:81" ht="12" customHeight="1" x14ac:dyDescent="0.3">
      <c r="A909" s="7"/>
      <c r="B909" s="7"/>
      <c r="C909" s="11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8"/>
      <c r="BX909" s="7"/>
      <c r="BY909" s="7"/>
      <c r="BZ909" s="7"/>
      <c r="CA909" s="7"/>
      <c r="CB909" s="7"/>
      <c r="CC909" s="7"/>
    </row>
    <row r="910" spans="1:81" ht="12" customHeight="1" x14ac:dyDescent="0.3">
      <c r="A910" s="7"/>
      <c r="B910" s="7"/>
      <c r="C910" s="11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8"/>
      <c r="BX910" s="7"/>
      <c r="BY910" s="7"/>
      <c r="BZ910" s="7"/>
      <c r="CA910" s="7"/>
      <c r="CB910" s="7"/>
      <c r="CC910" s="7"/>
    </row>
    <row r="911" spans="1:81" ht="12" customHeight="1" x14ac:dyDescent="0.3">
      <c r="A911" s="7"/>
      <c r="B911" s="7"/>
      <c r="C911" s="11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8"/>
      <c r="BX911" s="7"/>
      <c r="BY911" s="7"/>
      <c r="BZ911" s="7"/>
      <c r="CA911" s="7"/>
      <c r="CB911" s="7"/>
      <c r="CC911" s="7"/>
    </row>
    <row r="912" spans="1:81" ht="12" customHeight="1" x14ac:dyDescent="0.3">
      <c r="A912" s="7"/>
      <c r="B912" s="7"/>
      <c r="C912" s="11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8"/>
      <c r="BX912" s="7"/>
      <c r="BY912" s="7"/>
      <c r="BZ912" s="7"/>
      <c r="CA912" s="7"/>
      <c r="CB912" s="7"/>
      <c r="CC912" s="7"/>
    </row>
    <row r="913" spans="1:81" ht="12" customHeight="1" x14ac:dyDescent="0.3">
      <c r="A913" s="7"/>
      <c r="B913" s="7"/>
      <c r="C913" s="11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8"/>
      <c r="BX913" s="7"/>
      <c r="BY913" s="7"/>
      <c r="BZ913" s="7"/>
      <c r="CA913" s="7"/>
      <c r="CB913" s="7"/>
      <c r="CC913" s="7"/>
    </row>
    <row r="914" spans="1:81" ht="12" customHeight="1" x14ac:dyDescent="0.3">
      <c r="A914" s="7"/>
      <c r="B914" s="7"/>
      <c r="C914" s="11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8"/>
      <c r="BX914" s="7"/>
      <c r="BY914" s="7"/>
      <c r="BZ914" s="7"/>
      <c r="CA914" s="7"/>
      <c r="CB914" s="7"/>
      <c r="CC914" s="7"/>
    </row>
    <row r="915" spans="1:81" ht="12" customHeight="1" x14ac:dyDescent="0.3">
      <c r="A915" s="7"/>
      <c r="B915" s="7"/>
      <c r="C915" s="11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8"/>
      <c r="BX915" s="7"/>
      <c r="BY915" s="7"/>
      <c r="BZ915" s="7"/>
      <c r="CA915" s="7"/>
      <c r="CB915" s="7"/>
      <c r="CC915" s="7"/>
    </row>
    <row r="916" spans="1:81" ht="12" customHeight="1" x14ac:dyDescent="0.3">
      <c r="A916" s="7"/>
      <c r="B916" s="7"/>
      <c r="C916" s="11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8"/>
      <c r="BX916" s="7"/>
      <c r="BY916" s="7"/>
      <c r="BZ916" s="7"/>
      <c r="CA916" s="7"/>
      <c r="CB916" s="7"/>
      <c r="CC916" s="7"/>
    </row>
    <row r="917" spans="1:81" ht="12" customHeight="1" x14ac:dyDescent="0.3">
      <c r="A917" s="7"/>
      <c r="B917" s="7"/>
      <c r="C917" s="11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8"/>
      <c r="BX917" s="7"/>
      <c r="BY917" s="7"/>
      <c r="BZ917" s="7"/>
      <c r="CA917" s="7"/>
      <c r="CB917" s="7"/>
      <c r="CC917" s="7"/>
    </row>
    <row r="918" spans="1:81" ht="12" customHeight="1" x14ac:dyDescent="0.3">
      <c r="A918" s="7"/>
      <c r="B918" s="7"/>
      <c r="C918" s="11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8"/>
      <c r="BX918" s="7"/>
      <c r="BY918" s="7"/>
      <c r="BZ918" s="7"/>
      <c r="CA918" s="7"/>
      <c r="CB918" s="7"/>
      <c r="CC918" s="7"/>
    </row>
    <row r="919" spans="1:81" ht="12" customHeight="1" x14ac:dyDescent="0.3">
      <c r="A919" s="7"/>
      <c r="B919" s="7"/>
      <c r="C919" s="11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8"/>
      <c r="BX919" s="7"/>
      <c r="BY919" s="7"/>
      <c r="BZ919" s="7"/>
      <c r="CA919" s="7"/>
      <c r="CB919" s="7"/>
      <c r="CC919" s="7"/>
    </row>
    <row r="920" spans="1:81" ht="12" customHeight="1" x14ac:dyDescent="0.3">
      <c r="A920" s="7"/>
      <c r="B920" s="7"/>
      <c r="C920" s="11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8"/>
      <c r="BX920" s="7"/>
      <c r="BY920" s="7"/>
      <c r="BZ920" s="7"/>
      <c r="CA920" s="7"/>
      <c r="CB920" s="7"/>
      <c r="CC920" s="7"/>
    </row>
    <row r="921" spans="1:81" ht="12" customHeight="1" x14ac:dyDescent="0.3">
      <c r="A921" s="7"/>
      <c r="B921" s="7"/>
      <c r="C921" s="11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8"/>
      <c r="BX921" s="7"/>
      <c r="BY921" s="7"/>
      <c r="BZ921" s="7"/>
      <c r="CA921" s="7"/>
      <c r="CB921" s="7"/>
      <c r="CC921" s="7"/>
    </row>
    <row r="922" spans="1:81" ht="12" customHeight="1" x14ac:dyDescent="0.3">
      <c r="A922" s="7"/>
      <c r="B922" s="7"/>
      <c r="C922" s="11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8"/>
      <c r="BX922" s="7"/>
      <c r="BY922" s="7"/>
      <c r="BZ922" s="7"/>
      <c r="CA922" s="7"/>
      <c r="CB922" s="7"/>
      <c r="CC922" s="7"/>
    </row>
    <row r="923" spans="1:81" ht="12" customHeight="1" x14ac:dyDescent="0.3">
      <c r="A923" s="7"/>
      <c r="B923" s="7"/>
      <c r="C923" s="11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8"/>
      <c r="BX923" s="7"/>
      <c r="BY923" s="7"/>
      <c r="BZ923" s="7"/>
      <c r="CA923" s="7"/>
      <c r="CB923" s="7"/>
      <c r="CC923" s="7"/>
    </row>
    <row r="924" spans="1:81" ht="12" customHeight="1" x14ac:dyDescent="0.3">
      <c r="A924" s="7"/>
      <c r="B924" s="7"/>
      <c r="C924" s="11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8"/>
      <c r="BX924" s="7"/>
      <c r="BY924" s="7"/>
      <c r="BZ924" s="7"/>
      <c r="CA924" s="7"/>
      <c r="CB924" s="7"/>
      <c r="CC924" s="7"/>
    </row>
    <row r="925" spans="1:81" ht="12" customHeight="1" x14ac:dyDescent="0.3">
      <c r="A925" s="7"/>
      <c r="B925" s="7"/>
      <c r="C925" s="11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8"/>
      <c r="BX925" s="7"/>
      <c r="BY925" s="7"/>
      <c r="BZ925" s="7"/>
      <c r="CA925" s="7"/>
      <c r="CB925" s="7"/>
      <c r="CC925" s="7"/>
    </row>
    <row r="926" spans="1:81" ht="12" customHeight="1" x14ac:dyDescent="0.3">
      <c r="A926" s="7"/>
      <c r="B926" s="7"/>
      <c r="C926" s="11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8"/>
      <c r="BX926" s="7"/>
      <c r="BY926" s="7"/>
      <c r="BZ926" s="7"/>
      <c r="CA926" s="7"/>
      <c r="CB926" s="7"/>
      <c r="CC926" s="7"/>
    </row>
    <row r="927" spans="1:81" ht="12" customHeight="1" x14ac:dyDescent="0.3">
      <c r="A927" s="7"/>
      <c r="B927" s="7"/>
      <c r="C927" s="11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8"/>
      <c r="BX927" s="7"/>
      <c r="BY927" s="7"/>
      <c r="BZ927" s="7"/>
      <c r="CA927" s="7"/>
      <c r="CB927" s="7"/>
      <c r="CC927" s="7"/>
    </row>
    <row r="928" spans="1:81" ht="12" customHeight="1" x14ac:dyDescent="0.3">
      <c r="A928" s="7"/>
      <c r="B928" s="7"/>
      <c r="C928" s="11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8"/>
      <c r="BX928" s="7"/>
      <c r="BY928" s="7"/>
      <c r="BZ928" s="7"/>
      <c r="CA928" s="7"/>
      <c r="CB928" s="7"/>
      <c r="CC928" s="7"/>
    </row>
    <row r="929" spans="1:81" ht="12" customHeight="1" x14ac:dyDescent="0.3">
      <c r="A929" s="7"/>
      <c r="B929" s="7"/>
      <c r="C929" s="11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8"/>
      <c r="BX929" s="7"/>
      <c r="BY929" s="7"/>
      <c r="BZ929" s="7"/>
      <c r="CA929" s="7"/>
      <c r="CB929" s="7"/>
      <c r="CC929" s="7"/>
    </row>
    <row r="930" spans="1:81" ht="12" customHeight="1" x14ac:dyDescent="0.3">
      <c r="A930" s="7"/>
      <c r="B930" s="7"/>
      <c r="C930" s="11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8"/>
      <c r="BX930" s="7"/>
      <c r="BY930" s="7"/>
      <c r="BZ930" s="7"/>
      <c r="CA930" s="7"/>
      <c r="CB930" s="7"/>
      <c r="CC930" s="7"/>
    </row>
    <row r="931" spans="1:81" ht="12" customHeight="1" x14ac:dyDescent="0.3">
      <c r="A931" s="7"/>
      <c r="B931" s="7"/>
      <c r="C931" s="11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8"/>
      <c r="BX931" s="7"/>
      <c r="BY931" s="7"/>
      <c r="BZ931" s="7"/>
      <c r="CA931" s="7"/>
      <c r="CB931" s="7"/>
      <c r="CC931" s="7"/>
    </row>
    <row r="932" spans="1:81" ht="12" customHeight="1" x14ac:dyDescent="0.3">
      <c r="A932" s="7"/>
      <c r="B932" s="7"/>
      <c r="C932" s="11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8"/>
      <c r="BX932" s="7"/>
      <c r="BY932" s="7"/>
      <c r="BZ932" s="7"/>
      <c r="CA932" s="7"/>
      <c r="CB932" s="7"/>
      <c r="CC932" s="7"/>
    </row>
    <row r="933" spans="1:81" ht="12" customHeight="1" x14ac:dyDescent="0.3">
      <c r="A933" s="7"/>
      <c r="B933" s="7"/>
      <c r="C933" s="11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8"/>
      <c r="BX933" s="7"/>
      <c r="BY933" s="7"/>
      <c r="BZ933" s="7"/>
      <c r="CA933" s="7"/>
      <c r="CB933" s="7"/>
      <c r="CC933" s="7"/>
    </row>
    <row r="934" spans="1:81" ht="12" customHeight="1" x14ac:dyDescent="0.3">
      <c r="A934" s="7"/>
      <c r="B934" s="7"/>
      <c r="C934" s="11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8"/>
      <c r="BX934" s="7"/>
      <c r="BY934" s="7"/>
      <c r="BZ934" s="7"/>
      <c r="CA934" s="7"/>
      <c r="CB934" s="7"/>
      <c r="CC934" s="7"/>
    </row>
    <row r="935" spans="1:81" ht="12" customHeight="1" x14ac:dyDescent="0.3">
      <c r="A935" s="7"/>
      <c r="B935" s="7"/>
      <c r="C935" s="11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8"/>
      <c r="BX935" s="7"/>
      <c r="BY935" s="7"/>
      <c r="BZ935" s="7"/>
      <c r="CA935" s="7"/>
      <c r="CB935" s="7"/>
      <c r="CC935" s="7"/>
    </row>
    <row r="936" spans="1:81" ht="12" customHeight="1" x14ac:dyDescent="0.3">
      <c r="A936" s="7"/>
      <c r="B936" s="7"/>
      <c r="C936" s="11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8"/>
      <c r="BX936" s="7"/>
      <c r="BY936" s="7"/>
      <c r="BZ936" s="7"/>
      <c r="CA936" s="7"/>
      <c r="CB936" s="7"/>
      <c r="CC936" s="7"/>
    </row>
    <row r="937" spans="1:81" ht="12" customHeight="1" x14ac:dyDescent="0.3">
      <c r="A937" s="7"/>
      <c r="B937" s="7"/>
      <c r="C937" s="11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8"/>
      <c r="BX937" s="7"/>
      <c r="BY937" s="7"/>
      <c r="BZ937" s="7"/>
      <c r="CA937" s="7"/>
      <c r="CB937" s="7"/>
      <c r="CC937" s="7"/>
    </row>
    <row r="938" spans="1:81" ht="12" customHeight="1" x14ac:dyDescent="0.3">
      <c r="A938" s="7"/>
      <c r="B938" s="7"/>
      <c r="C938" s="11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8"/>
      <c r="BX938" s="7"/>
      <c r="BY938" s="7"/>
      <c r="BZ938" s="7"/>
      <c r="CA938" s="7"/>
      <c r="CB938" s="7"/>
      <c r="CC938" s="7"/>
    </row>
    <row r="939" spans="1:81" ht="12" customHeight="1" x14ac:dyDescent="0.3">
      <c r="A939" s="7"/>
      <c r="B939" s="7"/>
      <c r="C939" s="11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8"/>
      <c r="BX939" s="7"/>
      <c r="BY939" s="7"/>
      <c r="BZ939" s="7"/>
      <c r="CA939" s="7"/>
      <c r="CB939" s="7"/>
      <c r="CC939" s="7"/>
    </row>
    <row r="940" spans="1:81" ht="12" customHeight="1" x14ac:dyDescent="0.3">
      <c r="A940" s="7"/>
      <c r="B940" s="7"/>
      <c r="C940" s="11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8"/>
      <c r="BX940" s="7"/>
      <c r="BY940" s="7"/>
      <c r="BZ940" s="7"/>
      <c r="CA940" s="7"/>
      <c r="CB940" s="7"/>
      <c r="CC940" s="7"/>
    </row>
    <row r="941" spans="1:81" ht="12" customHeight="1" x14ac:dyDescent="0.3">
      <c r="A941" s="7"/>
      <c r="B941" s="7"/>
      <c r="C941" s="11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8"/>
      <c r="BX941" s="7"/>
      <c r="BY941" s="7"/>
      <c r="BZ941" s="7"/>
      <c r="CA941" s="7"/>
      <c r="CB941" s="7"/>
      <c r="CC941" s="7"/>
    </row>
    <row r="942" spans="1:81" ht="12" customHeight="1" x14ac:dyDescent="0.3">
      <c r="A942" s="7"/>
      <c r="B942" s="7"/>
      <c r="C942" s="11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8"/>
      <c r="BX942" s="7"/>
      <c r="BY942" s="7"/>
      <c r="BZ942" s="7"/>
      <c r="CA942" s="7"/>
      <c r="CB942" s="7"/>
      <c r="CC942" s="7"/>
    </row>
    <row r="943" spans="1:81" ht="12" customHeight="1" x14ac:dyDescent="0.3">
      <c r="A943" s="7"/>
      <c r="B943" s="7"/>
      <c r="C943" s="11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8"/>
      <c r="BX943" s="7"/>
      <c r="BY943" s="7"/>
      <c r="BZ943" s="7"/>
      <c r="CA943" s="7"/>
      <c r="CB943" s="7"/>
      <c r="CC943" s="7"/>
    </row>
    <row r="944" spans="1:81" ht="12" customHeight="1" x14ac:dyDescent="0.3">
      <c r="A944" s="7"/>
      <c r="B944" s="7"/>
      <c r="C944" s="11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8"/>
      <c r="BX944" s="7"/>
      <c r="BY944" s="7"/>
      <c r="BZ944" s="7"/>
      <c r="CA944" s="7"/>
      <c r="CB944" s="7"/>
      <c r="CC944" s="7"/>
    </row>
    <row r="945" spans="1:81" ht="12" customHeight="1" x14ac:dyDescent="0.3">
      <c r="A945" s="7"/>
      <c r="B945" s="7"/>
      <c r="C945" s="11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8"/>
      <c r="BX945" s="7"/>
      <c r="BY945" s="7"/>
      <c r="BZ945" s="7"/>
      <c r="CA945" s="7"/>
      <c r="CB945" s="7"/>
      <c r="CC945" s="7"/>
    </row>
    <row r="946" spans="1:81" ht="12" customHeight="1" x14ac:dyDescent="0.3">
      <c r="A946" s="7"/>
      <c r="B946" s="7"/>
      <c r="C946" s="11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8"/>
      <c r="BX946" s="7"/>
      <c r="BY946" s="7"/>
      <c r="BZ946" s="7"/>
      <c r="CA946" s="7"/>
      <c r="CB946" s="7"/>
      <c r="CC946" s="7"/>
    </row>
    <row r="947" spans="1:81" ht="12" customHeight="1" x14ac:dyDescent="0.3">
      <c r="A947" s="7"/>
      <c r="B947" s="7"/>
      <c r="C947" s="11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8"/>
      <c r="BX947" s="7"/>
      <c r="BY947" s="7"/>
      <c r="BZ947" s="7"/>
      <c r="CA947" s="7"/>
      <c r="CB947" s="7"/>
      <c r="CC947" s="7"/>
    </row>
    <row r="948" spans="1:81" ht="12" customHeight="1" x14ac:dyDescent="0.3">
      <c r="A948" s="7"/>
      <c r="B948" s="7"/>
      <c r="C948" s="11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8"/>
      <c r="BX948" s="7"/>
      <c r="BY948" s="7"/>
      <c r="BZ948" s="7"/>
      <c r="CA948" s="7"/>
      <c r="CB948" s="7"/>
      <c r="CC948" s="7"/>
    </row>
    <row r="949" spans="1:81" ht="12" customHeight="1" x14ac:dyDescent="0.3">
      <c r="A949" s="7"/>
      <c r="B949" s="7"/>
      <c r="C949" s="11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8"/>
      <c r="BX949" s="7"/>
      <c r="BY949" s="7"/>
      <c r="BZ949" s="7"/>
      <c r="CA949" s="7"/>
      <c r="CB949" s="7"/>
      <c r="CC949" s="7"/>
    </row>
    <row r="950" spans="1:81" ht="12" customHeight="1" x14ac:dyDescent="0.3">
      <c r="A950" s="7"/>
      <c r="B950" s="7"/>
      <c r="C950" s="11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8"/>
      <c r="BX950" s="7"/>
      <c r="BY950" s="7"/>
      <c r="BZ950" s="7"/>
      <c r="CA950" s="7"/>
      <c r="CB950" s="7"/>
      <c r="CC950" s="7"/>
    </row>
    <row r="951" spans="1:81" ht="12" customHeight="1" x14ac:dyDescent="0.3">
      <c r="A951" s="7"/>
      <c r="B951" s="7"/>
      <c r="C951" s="11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8"/>
      <c r="BX951" s="7"/>
      <c r="BY951" s="7"/>
      <c r="BZ951" s="7"/>
      <c r="CA951" s="7"/>
      <c r="CB951" s="7"/>
      <c r="CC951" s="7"/>
    </row>
    <row r="952" spans="1:81" ht="12" customHeight="1" x14ac:dyDescent="0.3">
      <c r="A952" s="7"/>
      <c r="B952" s="7"/>
      <c r="C952" s="11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8"/>
      <c r="BX952" s="7"/>
      <c r="BY952" s="7"/>
      <c r="BZ952" s="7"/>
      <c r="CA952" s="7"/>
      <c r="CB952" s="7"/>
      <c r="CC952" s="7"/>
    </row>
    <row r="953" spans="1:81" ht="12" customHeight="1" x14ac:dyDescent="0.3">
      <c r="A953" s="7"/>
      <c r="B953" s="7"/>
      <c r="C953" s="11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8"/>
      <c r="BX953" s="7"/>
      <c r="BY953" s="7"/>
      <c r="BZ953" s="7"/>
      <c r="CA953" s="7"/>
      <c r="CB953" s="7"/>
      <c r="CC953" s="7"/>
    </row>
    <row r="954" spans="1:81" ht="12" customHeight="1" x14ac:dyDescent="0.3">
      <c r="A954" s="7"/>
      <c r="B954" s="7"/>
      <c r="C954" s="11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8"/>
      <c r="BX954" s="7"/>
      <c r="BY954" s="7"/>
      <c r="BZ954" s="7"/>
      <c r="CA954" s="7"/>
      <c r="CB954" s="7"/>
      <c r="CC954" s="7"/>
    </row>
    <row r="955" spans="1:81" ht="12" customHeight="1" x14ac:dyDescent="0.3">
      <c r="A955" s="7"/>
      <c r="B955" s="7"/>
      <c r="C955" s="11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8"/>
      <c r="BX955" s="7"/>
      <c r="BY955" s="7"/>
      <c r="BZ955" s="7"/>
      <c r="CA955" s="7"/>
      <c r="CB955" s="7"/>
      <c r="CC955" s="7"/>
    </row>
    <row r="956" spans="1:81" ht="12" customHeight="1" x14ac:dyDescent="0.3">
      <c r="A956" s="7"/>
      <c r="B956" s="7"/>
      <c r="C956" s="11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8"/>
      <c r="BX956" s="7"/>
      <c r="BY956" s="7"/>
      <c r="BZ956" s="7"/>
      <c r="CA956" s="7"/>
      <c r="CB956" s="7"/>
      <c r="CC956" s="7"/>
    </row>
    <row r="957" spans="1:81" ht="12" customHeight="1" x14ac:dyDescent="0.3">
      <c r="A957" s="7"/>
      <c r="B957" s="7"/>
      <c r="C957" s="11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8"/>
      <c r="BX957" s="7"/>
      <c r="BY957" s="7"/>
      <c r="BZ957" s="7"/>
      <c r="CA957" s="7"/>
      <c r="CB957" s="7"/>
      <c r="CC957" s="7"/>
    </row>
    <row r="958" spans="1:81" ht="12" customHeight="1" x14ac:dyDescent="0.3">
      <c r="A958" s="7"/>
      <c r="B958" s="7"/>
      <c r="C958" s="11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8"/>
      <c r="BX958" s="7"/>
      <c r="BY958" s="7"/>
      <c r="BZ958" s="7"/>
      <c r="CA958" s="7"/>
      <c r="CB958" s="7"/>
      <c r="CC958" s="7"/>
    </row>
    <row r="959" spans="1:81" ht="12" customHeight="1" x14ac:dyDescent="0.3">
      <c r="A959" s="7"/>
      <c r="B959" s="7"/>
      <c r="C959" s="11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8"/>
      <c r="BX959" s="7"/>
      <c r="BY959" s="7"/>
      <c r="BZ959" s="7"/>
      <c r="CA959" s="7"/>
      <c r="CB959" s="7"/>
      <c r="CC959" s="7"/>
    </row>
    <row r="960" spans="1:81" ht="12" customHeight="1" x14ac:dyDescent="0.3">
      <c r="A960" s="7"/>
      <c r="B960" s="7"/>
      <c r="C960" s="11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8"/>
      <c r="BX960" s="7"/>
      <c r="BY960" s="7"/>
      <c r="BZ960" s="7"/>
      <c r="CA960" s="7"/>
      <c r="CB960" s="7"/>
      <c r="CC960" s="7"/>
    </row>
    <row r="961" spans="1:81" ht="12" customHeight="1" x14ac:dyDescent="0.3">
      <c r="A961" s="7"/>
      <c r="B961" s="7"/>
      <c r="C961" s="11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8"/>
      <c r="BX961" s="7"/>
      <c r="BY961" s="7"/>
      <c r="BZ961" s="7"/>
      <c r="CA961" s="7"/>
      <c r="CB961" s="7"/>
      <c r="CC961" s="7"/>
    </row>
    <row r="962" spans="1:81" ht="12" customHeight="1" x14ac:dyDescent="0.3">
      <c r="A962" s="7"/>
      <c r="B962" s="7"/>
      <c r="C962" s="11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8"/>
      <c r="BX962" s="7"/>
      <c r="BY962" s="7"/>
      <c r="BZ962" s="7"/>
      <c r="CA962" s="7"/>
      <c r="CB962" s="7"/>
      <c r="CC962" s="7"/>
    </row>
    <row r="963" spans="1:81" ht="12" customHeight="1" x14ac:dyDescent="0.3">
      <c r="A963" s="7"/>
      <c r="B963" s="7"/>
      <c r="C963" s="11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8"/>
      <c r="BX963" s="7"/>
      <c r="BY963" s="7"/>
      <c r="BZ963" s="7"/>
      <c r="CA963" s="7"/>
      <c r="CB963" s="7"/>
      <c r="CC963" s="7"/>
    </row>
    <row r="964" spans="1:81" ht="12" customHeight="1" x14ac:dyDescent="0.3">
      <c r="A964" s="7"/>
      <c r="B964" s="7"/>
      <c r="C964" s="11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8"/>
      <c r="BX964" s="7"/>
      <c r="BY964" s="7"/>
      <c r="BZ964" s="7"/>
      <c r="CA964" s="7"/>
      <c r="CB964" s="7"/>
      <c r="CC964" s="7"/>
    </row>
    <row r="965" spans="1:81" ht="12" customHeight="1" x14ac:dyDescent="0.3">
      <c r="A965" s="7"/>
      <c r="B965" s="7"/>
      <c r="C965" s="11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8"/>
      <c r="BX965" s="7"/>
      <c r="BY965" s="7"/>
      <c r="BZ965" s="7"/>
      <c r="CA965" s="7"/>
      <c r="CB965" s="7"/>
      <c r="CC965" s="7"/>
    </row>
    <row r="966" spans="1:81" ht="12" customHeight="1" x14ac:dyDescent="0.3">
      <c r="A966" s="7"/>
      <c r="B966" s="7"/>
      <c r="C966" s="11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8"/>
      <c r="BX966" s="7"/>
      <c r="BY966" s="7"/>
      <c r="BZ966" s="7"/>
      <c r="CA966" s="7"/>
      <c r="CB966" s="7"/>
      <c r="CC966" s="7"/>
    </row>
    <row r="967" spans="1:81" ht="12" customHeight="1" x14ac:dyDescent="0.3">
      <c r="A967" s="7"/>
      <c r="B967" s="7"/>
      <c r="C967" s="11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8"/>
      <c r="BX967" s="7"/>
      <c r="BY967" s="7"/>
      <c r="BZ967" s="7"/>
      <c r="CA967" s="7"/>
      <c r="CB967" s="7"/>
      <c r="CC967" s="7"/>
    </row>
    <row r="968" spans="1:81" ht="12" customHeight="1" x14ac:dyDescent="0.3">
      <c r="A968" s="7"/>
      <c r="B968" s="7"/>
      <c r="C968" s="11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8"/>
      <c r="BX968" s="7"/>
      <c r="BY968" s="7"/>
      <c r="BZ968" s="7"/>
      <c r="CA968" s="7"/>
      <c r="CB968" s="7"/>
      <c r="CC968" s="7"/>
    </row>
    <row r="969" spans="1:81" ht="12" customHeight="1" x14ac:dyDescent="0.3">
      <c r="A969" s="7"/>
      <c r="B969" s="7"/>
      <c r="C969" s="11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8"/>
      <c r="BX969" s="7"/>
      <c r="BY969" s="7"/>
      <c r="BZ969" s="7"/>
      <c r="CA969" s="7"/>
      <c r="CB969" s="7"/>
      <c r="CC969" s="7"/>
    </row>
    <row r="970" spans="1:81" ht="12" customHeight="1" x14ac:dyDescent="0.3">
      <c r="A970" s="7"/>
      <c r="B970" s="7"/>
      <c r="C970" s="11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8"/>
      <c r="BX970" s="7"/>
      <c r="BY970" s="7"/>
      <c r="BZ970" s="7"/>
      <c r="CA970" s="7"/>
      <c r="CB970" s="7"/>
      <c r="CC970" s="7"/>
    </row>
    <row r="971" spans="1:81" ht="12" customHeight="1" x14ac:dyDescent="0.3">
      <c r="A971" s="7"/>
      <c r="B971" s="7"/>
      <c r="C971" s="11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8"/>
      <c r="BX971" s="7"/>
      <c r="BY971" s="7"/>
      <c r="BZ971" s="7"/>
      <c r="CA971" s="7"/>
      <c r="CB971" s="7"/>
      <c r="CC971" s="7"/>
    </row>
    <row r="972" spans="1:81" ht="12" customHeight="1" x14ac:dyDescent="0.3">
      <c r="A972" s="7"/>
      <c r="B972" s="7"/>
      <c r="C972" s="11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8"/>
      <c r="BX972" s="7"/>
      <c r="BY972" s="7"/>
      <c r="BZ972" s="7"/>
      <c r="CA972" s="7"/>
      <c r="CB972" s="7"/>
      <c r="CC972" s="7"/>
    </row>
    <row r="973" spans="1:81" ht="12" customHeight="1" x14ac:dyDescent="0.3">
      <c r="A973" s="7"/>
      <c r="B973" s="7"/>
      <c r="C973" s="11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8"/>
      <c r="BX973" s="7"/>
      <c r="BY973" s="7"/>
      <c r="BZ973" s="7"/>
      <c r="CA973" s="7"/>
      <c r="CB973" s="7"/>
      <c r="CC973" s="7"/>
    </row>
    <row r="974" spans="1:81" ht="12" customHeight="1" x14ac:dyDescent="0.3">
      <c r="A974" s="7"/>
      <c r="B974" s="7"/>
      <c r="C974" s="11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8"/>
      <c r="BX974" s="7"/>
      <c r="BY974" s="7"/>
      <c r="BZ974" s="7"/>
      <c r="CA974" s="7"/>
      <c r="CB974" s="7"/>
      <c r="CC974" s="7"/>
    </row>
    <row r="975" spans="1:81" ht="12" customHeight="1" x14ac:dyDescent="0.3">
      <c r="A975" s="7"/>
      <c r="B975" s="7"/>
      <c r="C975" s="11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8"/>
      <c r="BX975" s="7"/>
      <c r="BY975" s="7"/>
      <c r="BZ975" s="7"/>
      <c r="CA975" s="7"/>
      <c r="CB975" s="7"/>
      <c r="CC975" s="7"/>
    </row>
    <row r="976" spans="1:81" ht="12" customHeight="1" x14ac:dyDescent="0.3">
      <c r="A976" s="7"/>
      <c r="B976" s="7"/>
      <c r="C976" s="11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8"/>
      <c r="BX976" s="7"/>
      <c r="BY976" s="7"/>
      <c r="BZ976" s="7"/>
      <c r="CA976" s="7"/>
      <c r="CB976" s="7"/>
      <c r="CC976" s="7"/>
    </row>
    <row r="977" spans="1:81" ht="12" customHeight="1" x14ac:dyDescent="0.3">
      <c r="A977" s="7"/>
      <c r="B977" s="7"/>
      <c r="C977" s="11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8"/>
      <c r="BX977" s="7"/>
      <c r="BY977" s="7"/>
      <c r="BZ977" s="7"/>
      <c r="CA977" s="7"/>
      <c r="CB977" s="7"/>
      <c r="CC977" s="7"/>
    </row>
    <row r="978" spans="1:81" ht="12" customHeight="1" x14ac:dyDescent="0.3">
      <c r="A978" s="7"/>
      <c r="B978" s="7"/>
      <c r="C978" s="11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8"/>
      <c r="BX978" s="7"/>
      <c r="BY978" s="7"/>
      <c r="BZ978" s="7"/>
      <c r="CA978" s="7"/>
      <c r="CB978" s="7"/>
      <c r="CC978" s="7"/>
    </row>
    <row r="979" spans="1:81" ht="12" customHeight="1" x14ac:dyDescent="0.3">
      <c r="A979" s="7"/>
      <c r="B979" s="7"/>
      <c r="C979" s="11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8"/>
      <c r="BX979" s="7"/>
      <c r="BY979" s="7"/>
      <c r="BZ979" s="7"/>
      <c r="CA979" s="7"/>
      <c r="CB979" s="7"/>
      <c r="CC979" s="7"/>
    </row>
    <row r="980" spans="1:81" ht="12" customHeight="1" x14ac:dyDescent="0.3">
      <c r="A980" s="7"/>
      <c r="B980" s="7"/>
      <c r="C980" s="11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8"/>
      <c r="BX980" s="7"/>
      <c r="BY980" s="7"/>
      <c r="BZ980" s="7"/>
      <c r="CA980" s="7"/>
      <c r="CB980" s="7"/>
      <c r="CC980" s="7"/>
    </row>
    <row r="981" spans="1:81" ht="12" customHeight="1" x14ac:dyDescent="0.3">
      <c r="A981" s="7"/>
      <c r="B981" s="7"/>
      <c r="C981" s="11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8"/>
      <c r="BX981" s="7"/>
      <c r="BY981" s="7"/>
      <c r="BZ981" s="7"/>
      <c r="CA981" s="7"/>
      <c r="CB981" s="7"/>
      <c r="CC981" s="7"/>
    </row>
    <row r="982" spans="1:81" ht="12" customHeight="1" x14ac:dyDescent="0.3">
      <c r="A982" s="7"/>
      <c r="B982" s="7"/>
      <c r="C982" s="11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8"/>
      <c r="BX982" s="7"/>
      <c r="BY982" s="7"/>
      <c r="BZ982" s="7"/>
      <c r="CA982" s="7"/>
      <c r="CB982" s="7"/>
      <c r="CC982" s="7"/>
    </row>
    <row r="983" spans="1:81" ht="12" customHeight="1" x14ac:dyDescent="0.3">
      <c r="A983" s="7"/>
      <c r="B983" s="7"/>
      <c r="C983" s="11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8"/>
      <c r="BX983" s="7"/>
      <c r="BY983" s="7"/>
      <c r="BZ983" s="7"/>
      <c r="CA983" s="7"/>
      <c r="CB983" s="7"/>
      <c r="CC983" s="7"/>
    </row>
    <row r="984" spans="1:81" ht="12" customHeight="1" x14ac:dyDescent="0.3">
      <c r="A984" s="7"/>
      <c r="B984" s="7"/>
      <c r="C984" s="11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8"/>
      <c r="BX984" s="7"/>
      <c r="BY984" s="7"/>
      <c r="BZ984" s="7"/>
      <c r="CA984" s="7"/>
      <c r="CB984" s="7"/>
      <c r="CC984" s="7"/>
    </row>
    <row r="985" spans="1:81" ht="12" customHeight="1" x14ac:dyDescent="0.3">
      <c r="A985" s="7"/>
      <c r="B985" s="7"/>
      <c r="C985" s="11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8"/>
      <c r="BX985" s="7"/>
      <c r="BY985" s="7"/>
      <c r="BZ985" s="7"/>
      <c r="CA985" s="7"/>
      <c r="CB985" s="7"/>
      <c r="CC985" s="7"/>
    </row>
    <row r="986" spans="1:81" ht="12" customHeight="1" x14ac:dyDescent="0.3">
      <c r="A986" s="7"/>
      <c r="B986" s="7"/>
      <c r="C986" s="11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8"/>
      <c r="BX986" s="7"/>
      <c r="BY986" s="7"/>
      <c r="BZ986" s="7"/>
      <c r="CA986" s="7"/>
      <c r="CB986" s="7"/>
      <c r="CC986" s="7"/>
    </row>
    <row r="987" spans="1:81" ht="12" customHeight="1" x14ac:dyDescent="0.3">
      <c r="A987" s="7"/>
      <c r="B987" s="7"/>
      <c r="C987" s="11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8"/>
      <c r="BX987" s="7"/>
      <c r="BY987" s="7"/>
      <c r="BZ987" s="7"/>
      <c r="CA987" s="7"/>
      <c r="CB987" s="7"/>
      <c r="CC987" s="7"/>
    </row>
    <row r="988" spans="1:81" ht="12" customHeight="1" x14ac:dyDescent="0.3">
      <c r="A988" s="7"/>
      <c r="B988" s="7"/>
      <c r="C988" s="11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8"/>
      <c r="BX988" s="7"/>
      <c r="BY988" s="7"/>
      <c r="BZ988" s="7"/>
      <c r="CA988" s="7"/>
      <c r="CB988" s="7"/>
      <c r="CC9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ricardo.salas.letelier@gmail.com</dc:creator>
  <cp:lastModifiedBy>ricardo.salas.letelier@gmail.com</cp:lastModifiedBy>
  <dcterms:created xsi:type="dcterms:W3CDTF">2025-09-08T19:45:43Z</dcterms:created>
  <dcterms:modified xsi:type="dcterms:W3CDTF">2025-09-08T19:58:17Z</dcterms:modified>
</cp:coreProperties>
</file>